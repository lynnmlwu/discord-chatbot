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指南" sheetId="1" r:id="rId5"/>
    <sheet state="visible" name="世界觀" sheetId="2" r:id="rId6"/>
    <sheet state="visible" name="光球" sheetId="3" r:id="rId7"/>
    <sheet state="visible" name="裝扮" sheetId="4" r:id="rId8"/>
    <sheet state="visible" name="玩法與系統" sheetId="5" r:id="rId9"/>
    <sheet state="visible" name="技能" sheetId="6" r:id="rId10"/>
    <sheet state="visible" name="裝備" sheetId="7" r:id="rId11"/>
    <sheet state="visible" name="旅伴" sheetId="8" r:id="rId12"/>
    <sheet state="visible" name="道具" sheetId="9" r:id="rId13"/>
    <sheet state="visible" name="念痕" sheetId="10" r:id="rId14"/>
    <sheet state="visible" name="其他" sheetId="11" r:id="rId15"/>
    <sheet state="visible" name="敵人" sheetId="12" r:id="rId16"/>
    <sheet state="visible" name="頭像" sheetId="13" r:id="rId17"/>
    <sheet state="visible" name="相框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tc={10d9ed92-0413-47a5-b840-1243c6202fe3}</author>
    <author>tc={30dbabe6-c1ee-4057-9297-39e7f35925cd}</author>
    <author>tc={6dac322b-21d0-493a-aba7-e9e3a98eecd9}</author>
    <author>tc={81497b74-abcb-41e1-8758-c1d32247e118}</author>
    <author>tc={862182c4-c4f1-4099-97e7-37152e7ab9b1}</author>
    <author>tc={9da0e8b5-f8ef-4ef3-a8a4-db7996c49a45}</author>
    <author>tc={efa24912-1b94-49c9-85c6-c3513b16107a}</author>
  </authors>
  <commentList>
    <comment authorId="0" ref="A3">
      <text>
        <t xml:space="preserve">owner使用
閱讀者可忽略</t>
      </text>
    </comment>
    <comment authorId="1" xr:uid="{10d9ed92-0413-47a5-b840-1243c6202fe3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純建議:
Apocalypse Ring -&gt; Doom Bell
原本的也沒不好
但 Apocalypse 的世紀感、末世感蠻重的，對上我們產品風格好像有點吃力
所以想說換個平凡的Doom Bell
Reply:
	sure
</t>
      </text>
    </comment>
    <comment authorId="2" xr:uid="{30dbabe6-c1ee-4057-9297-39e7f35925cd}" ref="C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突破前的主體是Ark
突破後改成 Motion 有什麼用意嗎
感覺沒對上?
Reply:
	增強動力的意象
文字上我覺得沒必要突破前後都用ark
標示為已解決
</t>
      </text>
    </comment>
    <comment authorId="3" xr:uid="{6dac322b-21d0-493a-aba7-e9e3a98eecd9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這個好難喔
quipper 很少見
但用roast又好像文化對不上
留個評論表示我看過
Reply:
	Got an idea
Ridicule Fan
</t>
      </text>
    </comment>
    <comment authorId="4" xr:uid="{81497b74-abcb-41e1-8758-c1d32247e118}" ref="C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這是刻意創這個詞的嗎?
因為其他譯文沒有這個做法
</t>
      </text>
    </comment>
    <comment authorId="5" xr:uid="{862182c4-c4f1-4099-97e7-37152e7ab9b1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純建議：
Irritating-&gt; Frenzy
frenzy 更有狂躁至傷害的感覺
Reply:
	sure
</t>
      </text>
    </comment>
    <comment authorId="6" xr:uid="{9da0e8b5-f8ef-4ef3-a8a4-db7996c49a45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建議：
Bubble Dream -&gt; Shattered Dream
中文「夢想破滅」有比較明確的負面情緒、打擊感
Bubble Dream 給人感覺略微中性，因此建議調整成更能明確傳達情緒的詞
Reply:
	sure!
</t>
      </text>
    </comment>
    <comment authorId="7" xr:uid="{efa24912-1b94-49c9-85c6-c3513b16107a}" ref="C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擔心太長
有考慮  Echoing Bell 嗎?
Reply:
	可以啊 已調整
Reply:
	標示為已解決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owner使用
閱讀者可忽略</t>
      </text>
    </comment>
  </commentList>
</comments>
</file>

<file path=xl/sharedStrings.xml><?xml version="1.0" encoding="utf-8"?>
<sst xmlns="http://schemas.openxmlformats.org/spreadsheetml/2006/main" count="2347" uniqueCount="1968">
  <si>
    <t>使用指南</t>
  </si>
  <si>
    <t>表單Owner</t>
  </si>
  <si>
    <t>Sophia</t>
  </si>
  <si>
    <t>中文</t>
  </si>
  <si>
    <t>英文</t>
  </si>
  <si>
    <t>日文</t>
  </si>
  <si>
    <t>屈屈</t>
  </si>
  <si>
    <t>韓文</t>
  </si>
  <si>
    <t>Nana</t>
  </si>
  <si>
    <t>此表單只會有多語言需要用的名詞，世界觀包裝請見另外的表單，請見目錄</t>
  </si>
  <si>
    <t>目錄</t>
  </si>
  <si>
    <t>簡易查詢&gt;&gt;</t>
  </si>
  <si>
    <t>Endless Tides</t>
  </si>
  <si>
    <t>&lt;&lt;填寫這一格</t>
  </si>
  <si>
    <t>項目</t>
  </si>
  <si>
    <t>分頁連結</t>
  </si>
  <si>
    <t>世界觀對應
(只有中文)</t>
  </si>
  <si>
    <r>
      <rPr>
        <rFont val="Arial"/>
        <b/>
        <color rgb="FFFFFFFF"/>
      </rPr>
      <t xml:space="preserve">公式會自動跑
</t>
    </r>
    <r>
      <rPr>
        <rFont val="Arial"/>
        <b/>
        <color rgb="FFF3F3F3"/>
      </rPr>
      <t>請勿調整</t>
    </r>
  </si>
  <si>
    <t>簡體中文</t>
  </si>
  <si>
    <t>世界觀</t>
  </si>
  <si>
    <t>https://docs.google.com/spreadsheets/d/1D_yJ9IFR-iYCGWxV30ELUYNCgEU8ZjHO_nV0QsXjonI/edit?gid=0#gid=0&amp;range=A1</t>
  </si>
  <si>
    <t>光球</t>
  </si>
  <si>
    <t>https://docs.google.com/spreadsheets/d/1D_yJ9IFR-iYCGWxV30ELUYNCgEU8ZjHO_nV0QsXjonI/edit?gid=1653246147#gid=1653246147&amp;range=A1</t>
  </si>
  <si>
    <t>https://docs.google.com/spreadsheets/d/1t8TKNmla7lHtQRDbSLiRXqfKHin_8imVbKuITRm1Rzw/edit?gid=343658773#gid=343658773&amp;range=A1</t>
  </si>
  <si>
    <t>玩法與系統</t>
  </si>
  <si>
    <t>https://docs.google.com/spreadsheets/d/1D_yJ9IFR-iYCGWxV30ELUYNCgEU8ZjHO_nV0QsXjonI/edit?gid=1154253793#gid=1154253793&amp;range=A1</t>
  </si>
  <si>
    <t>https://docs.google.com/spreadsheets/d/1t8TKNmla7lHtQRDbSLiRXqfKHin_8imVbKuITRm1Rzw/edit?gid=475591082#gid=475591082&amp;range=A1</t>
  </si>
  <si>
    <t>技能</t>
  </si>
  <si>
    <t>https://docs.google.com/spreadsheets/d/1D_yJ9IFR-iYCGWxV30ELUYNCgEU8ZjHO_nV0QsXjonI/edit?gid=500803902#gid=500803902&amp;range=A1</t>
  </si>
  <si>
    <t>https://docs.google.com/spreadsheets/d/1t8TKNmla7lHtQRDbSLiRXqfKHin_8imVbKuITRm1Rzw/edit?gid=1556590890#gid=1556590890&amp;range=A1</t>
  </si>
  <si>
    <t>裝備</t>
  </si>
  <si>
    <t>https://docs.google.com/spreadsheets/d/1D_yJ9IFR-iYCGWxV30ELUYNCgEU8ZjHO_nV0QsXjonI/edit?gid=1117083329#gid=1117083329&amp;range=A1</t>
  </si>
  <si>
    <t>https://docs.google.com/spreadsheets/d/1t8TKNmla7lHtQRDbSLiRXqfKHin_8imVbKuITRm1Rzw/edit?gid=1022532302#gid=1022532302&amp;range=A1</t>
  </si>
  <si>
    <t>旅伴</t>
  </si>
  <si>
    <t>https://docs.google.com/spreadsheets/d/1t8TKNmla7lHtQRDbSLiRXqfKHin_8imVbKuITRm1Rzw/edit?gid=0#gid=0&amp;range=A1</t>
  </si>
  <si>
    <t>道具</t>
  </si>
  <si>
    <t>https://docs.google.com/spreadsheets/d/1D_yJ9IFR-iYCGWxV30ELUYNCgEU8ZjHO_nV0QsXjonI/edit?gid=1449090086#gid=1449090086&amp;range=A1</t>
  </si>
  <si>
    <t>https://docs.google.com/spreadsheets/d/1t8TKNmla7lHtQRDbSLiRXqfKHin_8imVbKuITRm1Rzw/edit?gid=168444671#gid=168444671&amp;range=A1</t>
  </si>
  <si>
    <t>念痕</t>
  </si>
  <si>
    <t>https://docs.google.com/spreadsheets/d/1D_yJ9IFR-iYCGWxV30ELUYNCgEU8ZjHO_nV0QsXjonI/edit?gid=936720670#gid=936720670&amp;range=A1</t>
  </si>
  <si>
    <t>https://docs.google.com/spreadsheets/d/1t8TKNmla7lHtQRDbSLiRXqfKHin_8imVbKuITRm1Rzw/edit?gid=1892301246#gid=1892301246&amp;range=A1</t>
  </si>
  <si>
    <t>裝扮</t>
  </si>
  <si>
    <t>https://docs.google.com/spreadsheets/d/1D_yJ9IFR-iYCGWxV30ELUYNCgEU8ZjHO_nV0QsXjonI/edit?gid=2057747304#gid=2057747304&amp;range=A1</t>
  </si>
  <si>
    <t>尚未連動</t>
  </si>
  <si>
    <t>Memo欄用意</t>
  </si>
  <si>
    <t>owner使用，其他人請忽略</t>
  </si>
  <si>
    <t>M</t>
  </si>
  <si>
    <t>master</t>
  </si>
  <si>
    <t>D</t>
  </si>
  <si>
    <t>dupilcate</t>
  </si>
  <si>
    <t xml:space="preserve">ChineseTraditional
</t>
  </si>
  <si>
    <t xml:space="preserve">English
</t>
  </si>
  <si>
    <t xml:space="preserve">Japanese
</t>
  </si>
  <si>
    <t xml:space="preserve">Korean
</t>
  </si>
  <si>
    <t xml:space="preserve">ChineseSimplified
</t>
  </si>
  <si>
    <t>Memo</t>
  </si>
  <si>
    <t>心源地</t>
  </si>
  <si>
    <t>Emovia</t>
  </si>
  <si>
    <t>마음의 근원</t>
  </si>
  <si>
    <t>兇壓獸</t>
  </si>
  <si>
    <t>Stress Monster</t>
  </si>
  <si>
    <t>凶圧獣</t>
  </si>
  <si>
    <t>스트레스 몬스터</t>
  </si>
  <si>
    <t>凶压兽</t>
  </si>
  <si>
    <t>兇壓巨獸</t>
  </si>
  <si>
    <t>Stress Behemoth</t>
  </si>
  <si>
    <t>凶圧巨獣</t>
  </si>
  <si>
    <t>스트레스 보스</t>
  </si>
  <si>
    <t>凶压巨兽</t>
  </si>
  <si>
    <t>EMO 情緒大爆炸！</t>
  </si>
  <si>
    <t>EMO Blast!</t>
  </si>
  <si>
    <t>エモ•ブラスト！</t>
  </si>
  <si>
    <t>EMO 서바이벌!</t>
  </si>
  <si>
    <t>EMO 情绪大爆炸！</t>
  </si>
  <si>
    <t>Companion</t>
  </si>
  <si>
    <t>仲間</t>
  </si>
  <si>
    <t>동료</t>
  </si>
  <si>
    <t>German</t>
  </si>
  <si>
    <t>French</t>
  </si>
  <si>
    <t>德文</t>
  </si>
  <si>
    <t>法文</t>
  </si>
  <si>
    <t>Lightling</t>
  </si>
  <si>
    <t>ヒカリル</t>
  </si>
  <si>
    <t>빛의 정령</t>
  </si>
  <si>
    <t>光光</t>
  </si>
  <si>
    <t>Lumo</t>
  </si>
  <si>
    <t>ピカピカ</t>
  </si>
  <si>
    <t>루모</t>
  </si>
  <si>
    <t>滾滾</t>
  </si>
  <si>
    <t>Forma</t>
  </si>
  <si>
    <t>ゴロゴロ</t>
  </si>
  <si>
    <t>포르마</t>
  </si>
  <si>
    <t>滚滚</t>
  </si>
  <si>
    <t>呼呼</t>
  </si>
  <si>
    <t>Onus</t>
  </si>
  <si>
    <t>フーフー</t>
  </si>
  <si>
    <t>오누스</t>
  </si>
  <si>
    <t>Outfit</t>
  </si>
  <si>
    <t>着替え</t>
  </si>
  <si>
    <t>의상</t>
  </si>
  <si>
    <t>装扮</t>
  </si>
  <si>
    <t xml:space="preserve">ChineseTraditional
</t>
  </si>
  <si>
    <t xml:space="preserve">Japanese
</t>
  </si>
  <si>
    <t>光光熾熱決心帽</t>
  </si>
  <si>
    <t>Lumo’s Sparkfire Hat</t>
  </si>
  <si>
    <t>ピカピカの熱意ハット</t>
  </si>
  <si>
    <t>루모 결심의 모자</t>
  </si>
  <si>
    <t>光光炽热决心帽</t>
  </si>
  <si>
    <t>光光熱心胸章</t>
  </si>
  <si>
    <t>Lumo’s Warmhearted Badge</t>
  </si>
  <si>
    <t>ピカピカの熱心バッジ</t>
  </si>
  <si>
    <t>루모 열정 배지</t>
  </si>
  <si>
    <t>光光热心胸章</t>
  </si>
  <si>
    <t>光光熱血炎翼</t>
  </si>
  <si>
    <t>Lumo’s Emberwings</t>
  </si>
  <si>
    <t>ピカピカの熱血ウィング</t>
  </si>
  <si>
    <t>루모 열혈 화염 날개</t>
  </si>
  <si>
    <t>光光热血炎翼</t>
  </si>
  <si>
    <t>滾滾磐石盔</t>
  </si>
  <si>
    <t>Forma’s Boulder Helm</t>
  </si>
  <si>
    <t>ゴロゴロの磐石カブト</t>
  </si>
  <si>
    <t>포르마 바위 헬멧</t>
  </si>
  <si>
    <t>滚滚磐石盔</t>
  </si>
  <si>
    <t>滾滾硬土徽章</t>
  </si>
  <si>
    <t>Forma’s Earth Badge</t>
  </si>
  <si>
    <t>ゴロゴロの堅土バッジ</t>
  </si>
  <si>
    <t>포르마 흙 배지</t>
  </si>
  <si>
    <t>滚滚硬土徽章</t>
  </si>
  <si>
    <t>滾滾岩甲背盾</t>
  </si>
  <si>
    <t>Forma’s Stoneplate Shield</t>
  </si>
  <si>
    <t>ゴロゴロの岩甲シールド</t>
  </si>
  <si>
    <t>포르마 암석 등판</t>
  </si>
  <si>
    <t>滚滚岩甲背盾</t>
  </si>
  <si>
    <t>呼呼茸帽</t>
  </si>
  <si>
    <t>Onus’s Sprouting Cap</t>
  </si>
  <si>
    <t>フーフーの若芽ハット</t>
  </si>
  <si>
    <t>오누스 버섯 모자</t>
  </si>
  <si>
    <t>呼呼花露胸章</t>
  </si>
  <si>
    <t>Onus’s Floral Badge</t>
  </si>
  <si>
    <t>フーフーの花雫バッジ</t>
  </si>
  <si>
    <t>오누스 꽃이슬 배지</t>
  </si>
  <si>
    <t>呼呼蕨尾</t>
  </si>
  <si>
    <t>Onus's Fern Tail</t>
  </si>
  <si>
    <t>フーフーの深緑テール</t>
  </si>
  <si>
    <t>오누스 고사리 꼬리</t>
  </si>
  <si>
    <t>光光探險帽</t>
  </si>
  <si>
    <t>Lumo’s Explorer Hat</t>
  </si>
  <si>
    <t>ピカピカの探検ハット</t>
  </si>
  <si>
    <t>루모 탐험 모자</t>
  </si>
  <si>
    <t>光光探险帽</t>
  </si>
  <si>
    <t>光光探野領巾</t>
  </si>
  <si>
    <t>Lumo’s Wilderness Scarf</t>
  </si>
  <si>
    <t>ピカピカの荒野ヒレ</t>
  </si>
  <si>
    <t>루모 야외 스카프</t>
  </si>
  <si>
    <t>光光探野领巾</t>
  </si>
  <si>
    <t>光光野裝旅包</t>
  </si>
  <si>
    <t>Lumo’s Venture Pack</t>
  </si>
  <si>
    <t>ピカピカの野装バッグ</t>
  </si>
  <si>
    <t>루모 여행 가방</t>
  </si>
  <si>
    <t>光光野装旅包</t>
  </si>
  <si>
    <t>滾滾博學之冠</t>
  </si>
  <si>
    <t>Forma’s Scholar Crown</t>
  </si>
  <si>
    <t>ゴロゴロの博学ハット</t>
  </si>
  <si>
    <t>포르마 학자 왕관</t>
  </si>
  <si>
    <t>滚滚博学之冠</t>
  </si>
  <si>
    <t>滾滾邏輯領巾</t>
  </si>
  <si>
    <t>Forma's Precision Scarf</t>
  </si>
  <si>
    <t>ゴロゴロの論理スカーフ</t>
  </si>
  <si>
    <t>포르마 논리 스카프</t>
  </si>
  <si>
    <t>滚滚逻辑领巾</t>
  </si>
  <si>
    <t>滾滾博聞長袍</t>
  </si>
  <si>
    <t>Forma's Knowledge Robe</t>
  </si>
  <si>
    <t>ゴロゴロの知識ローブ</t>
  </si>
  <si>
    <t>포르마 지식의 로브</t>
  </si>
  <si>
    <t>滚滚博闻长袍</t>
  </si>
  <si>
    <t>呼呼揹小包袱</t>
  </si>
  <si>
    <t>Onus’s Sweet Burden</t>
  </si>
  <si>
    <t>フーフーの慈愛布</t>
  </si>
  <si>
    <t>오누스 작은 보따리</t>
  </si>
  <si>
    <t>呼呼背小包袱</t>
  </si>
  <si>
    <t>呼呼甜心圍裙</t>
  </si>
  <si>
    <t>Onus’s Sweetheart Apron</t>
  </si>
  <si>
    <t>フーフーの甘美帯</t>
  </si>
  <si>
    <t>오누스 달콤한 앞치마</t>
  </si>
  <si>
    <t>呼呼甜心围裙</t>
  </si>
  <si>
    <t>呼呼育養之瓶</t>
  </si>
  <si>
    <t>Onus Nurture Bottle</t>
  </si>
  <si>
    <t>フーフーの慈育瓶</t>
  </si>
  <si>
    <t>오누스 양육용 병</t>
  </si>
  <si>
    <t>呼呼育养之瓶</t>
  </si>
  <si>
    <t>光光熱情套裝</t>
  </si>
  <si>
    <t>Lumo Passion Set</t>
  </si>
  <si>
    <t>ピカピカの熱情セット</t>
  </si>
  <si>
    <t>루모 결심 세트</t>
  </si>
  <si>
    <t>光光热情套装</t>
  </si>
  <si>
    <t>滾滾堅毅套裝</t>
  </si>
  <si>
    <t>Forma Resilience Set</t>
  </si>
  <si>
    <t>ゴロゴロの堅毅セット</t>
  </si>
  <si>
    <t>포르마 강인 세트</t>
  </si>
  <si>
    <t>滚滚坚毅套装</t>
  </si>
  <si>
    <t>呼呼培育套裝</t>
  </si>
  <si>
    <t>Onus Nurture Set</t>
  </si>
  <si>
    <t>フーフーの育成セット</t>
  </si>
  <si>
    <t>오누스 육성 세트</t>
  </si>
  <si>
    <t>呼呼培育套装</t>
  </si>
  <si>
    <t>光光探險家套裝</t>
  </si>
  <si>
    <t>Lumo Explorer Set</t>
  </si>
  <si>
    <t>ピカピカの探検家セット</t>
  </si>
  <si>
    <t>루모 탐험가 세트</t>
  </si>
  <si>
    <t>光光探险家套装</t>
  </si>
  <si>
    <t>滾滾理論家套裝</t>
  </si>
  <si>
    <t>Forma Theorist Set</t>
  </si>
  <si>
    <t>ゴロゴロの理論家セット</t>
  </si>
  <si>
    <t>포르마 학자 세트</t>
  </si>
  <si>
    <t>滚滚理论家套装</t>
  </si>
  <si>
    <t>呼呼照顧者套裝</t>
  </si>
  <si>
    <t>Onus Caregiver Set</t>
  </si>
  <si>
    <t>フーフーの守護者セット</t>
  </si>
  <si>
    <t>오누스 서포터 세트</t>
  </si>
  <si>
    <t>呼呼照顾者套装</t>
  </si>
  <si>
    <t xml:space="preserve">English
</t>
  </si>
  <si>
    <t>心源探索</t>
  </si>
  <si>
    <t>Emovia Voyage</t>
  </si>
  <si>
    <t>心路の探索</t>
  </si>
  <si>
    <t>내면 탐색</t>
  </si>
  <si>
    <t>心源深旅</t>
  </si>
  <si>
    <t>Emovia Dive</t>
  </si>
  <si>
    <t>心路の旅路</t>
  </si>
  <si>
    <t>마음 여정</t>
  </si>
  <si>
    <t>晝夜輪迴</t>
  </si>
  <si>
    <t>Eternal Cycle</t>
  </si>
  <si>
    <t>昼夜の輪廻</t>
  </si>
  <si>
    <t>무한 순환</t>
  </si>
  <si>
    <t>昼夜轮回</t>
  </si>
  <si>
    <t>信念守護</t>
  </si>
  <si>
    <t>Defense of Faith</t>
  </si>
  <si>
    <t>信念の護り</t>
  </si>
  <si>
    <t>신념 수호</t>
  </si>
  <si>
    <t>信念守护</t>
  </si>
  <si>
    <t>金幣秘窟</t>
  </si>
  <si>
    <t>Coin Cave</t>
  </si>
  <si>
    <t>金貨の秘窟</t>
  </si>
  <si>
    <t>금화 동굴</t>
  </si>
  <si>
    <t>金币秘窟</t>
  </si>
  <si>
    <t>歧路之擇</t>
  </si>
  <si>
    <t>Road Not Taken</t>
  </si>
  <si>
    <t>彷徨の岐路</t>
  </si>
  <si>
    <t>망설임의 길</t>
  </si>
  <si>
    <t>歧路之择</t>
  </si>
  <si>
    <t>隨心換域</t>
  </si>
  <si>
    <t>Drifting Realm</t>
  </si>
  <si>
    <t>漂泊の領域</t>
  </si>
  <si>
    <t>자유 전환</t>
  </si>
  <si>
    <t>随心换域</t>
  </si>
  <si>
    <t>無盡心潮</t>
  </si>
  <si>
    <t>無限の心潮</t>
  </si>
  <si>
    <t>감정 파도</t>
  </si>
  <si>
    <t>无尽心潮</t>
  </si>
  <si>
    <t>心魔試煉</t>
  </si>
  <si>
    <t>Final Nightmare</t>
  </si>
  <si>
    <t>心魔の試練</t>
  </si>
  <si>
    <t>악의 시련</t>
  </si>
  <si>
    <t>心魔试炼</t>
  </si>
  <si>
    <t>成長</t>
  </si>
  <si>
    <t>Growth</t>
  </si>
  <si>
    <t>성장</t>
  </si>
  <si>
    <t>成长</t>
  </si>
  <si>
    <t>Gear</t>
  </si>
  <si>
    <t>装備</t>
  </si>
  <si>
    <t>장비</t>
  </si>
  <si>
    <t>装备</t>
  </si>
  <si>
    <t>Imprint</t>
  </si>
  <si>
    <t>각인</t>
  </si>
  <si>
    <t>收藏品</t>
  </si>
  <si>
    <t>Collectibles</t>
  </si>
  <si>
    <t>コレクション</t>
  </si>
  <si>
    <t>컬렉션</t>
  </si>
  <si>
    <t>回憶片段</t>
  </si>
  <si>
    <t xml:space="preserve">Memory Fragment </t>
  </si>
  <si>
    <t>記憶の欠片</t>
  </si>
  <si>
    <t>賽季通行證</t>
  </si>
  <si>
    <t>Season Pass</t>
  </si>
  <si>
    <t>シーズンパス</t>
  </si>
  <si>
    <t xml:space="preserve">商店 </t>
  </si>
  <si>
    <t>Shop</t>
  </si>
  <si>
    <t>ショップ</t>
  </si>
  <si>
    <t>首儲獎勵</t>
  </si>
  <si>
    <t>First Purchase Reward</t>
  </si>
  <si>
    <t>初回購入ボーナス</t>
  </si>
  <si>
    <t>月卡</t>
  </si>
  <si>
    <t>Monthly Pass</t>
  </si>
  <si>
    <t>マンスリーパス</t>
  </si>
  <si>
    <t>每日商店</t>
  </si>
  <si>
    <t>Daily Shop</t>
  </si>
  <si>
    <t>デイリーショップ</t>
  </si>
  <si>
    <t>每日特惠</t>
  </si>
  <si>
    <t>Daily Specials</t>
  </si>
  <si>
    <t>毎日お得パック</t>
  </si>
  <si>
    <t>成長基金</t>
  </si>
  <si>
    <t>Growth Fund</t>
  </si>
  <si>
    <t>晶龜</t>
  </si>
  <si>
    <t>Soul Stone Tortoise</t>
  </si>
  <si>
    <t>晶亀</t>
  </si>
  <si>
    <t>旅伴助戰</t>
  </si>
  <si>
    <t>Companion Deployment</t>
  </si>
  <si>
    <t>仲間サポート</t>
  </si>
  <si>
    <t xml:space="preserve"> </t>
  </si>
  <si>
    <t>尋音之琴</t>
  </si>
  <si>
    <t>Seeker's Lyre</t>
  </si>
  <si>
    <t>尋音のライアー</t>
  </si>
  <si>
    <t>리듬의 리라</t>
  </si>
  <si>
    <t>寻音之琴</t>
  </si>
  <si>
    <t>蒼穹尋律</t>
  </si>
  <si>
    <t>Eternal Melody</t>
  </si>
  <si>
    <t>悠遠の旋律</t>
  </si>
  <si>
    <t>창공의 리듬</t>
  </si>
  <si>
    <t>苍穹寻律</t>
  </si>
  <si>
    <t>吐槽折扇</t>
  </si>
  <si>
    <t>Ridicule Fan</t>
  </si>
  <si>
    <t>嘲笑のハリセン</t>
  </si>
  <si>
    <t>독설 부채</t>
  </si>
  <si>
    <t>終極吐槽王</t>
  </si>
  <si>
    <t>Roast Master</t>
  </si>
  <si>
    <t>酷評の支配者</t>
  </si>
  <si>
    <t>독설왕</t>
  </si>
  <si>
    <t>终极吐槽王</t>
  </si>
  <si>
    <t>驚喜拉炮</t>
  </si>
  <si>
    <t>Surprise Popper</t>
  </si>
  <si>
    <t>サプラィズ連砲</t>
  </si>
  <si>
    <t>깜짝 폭죽</t>
  </si>
  <si>
    <t>惊喜拉炮</t>
  </si>
  <si>
    <t>驚喜連環爆</t>
  </si>
  <si>
    <t>Party Time</t>
  </si>
  <si>
    <t>狂乱の祝祭</t>
  </si>
  <si>
    <t>연속 깜짝 폭발</t>
  </si>
  <si>
    <t>惊喜连环爆</t>
  </si>
  <si>
    <t>貪欲權杖</t>
  </si>
  <si>
    <t>Greed Scepter</t>
  </si>
  <si>
    <t>強欲の権化</t>
  </si>
  <si>
    <t>탐욕의 지팡이</t>
  </si>
  <si>
    <t>贪欲权杖</t>
  </si>
  <si>
    <t>貪狼星審判日</t>
  </si>
  <si>
    <t>Wolfstar Judgement</t>
  </si>
  <si>
    <t>貪狼の断罪日</t>
  </si>
  <si>
    <t>탐랑성의 심판일</t>
  </si>
  <si>
    <t>贪狼星审判日</t>
  </si>
  <si>
    <t>傲慢玫瑰</t>
  </si>
  <si>
    <t>Rose of Pride</t>
  </si>
  <si>
    <t>誇りの薔薇</t>
  </si>
  <si>
    <t>오만한 장미</t>
  </si>
  <si>
    <t>傲嬌之華</t>
  </si>
  <si>
    <t>Pride and Prejudice</t>
  </si>
  <si>
    <t>矜持の徒花</t>
  </si>
  <si>
    <t>오만의 개화</t>
  </si>
  <si>
    <t>傲娇之华</t>
  </si>
  <si>
    <t>戒備之鈴</t>
  </si>
  <si>
    <t>Warningbell</t>
  </si>
  <si>
    <t>戒備の鈴</t>
  </si>
  <si>
    <t>경계의 종</t>
  </si>
  <si>
    <t>戒备之铃</t>
  </si>
  <si>
    <t>浩劫警鐘</t>
  </si>
  <si>
    <t>Doom Ring</t>
  </si>
  <si>
    <t>厄災の風鈴</t>
  </si>
  <si>
    <t>파멸의 종</t>
  </si>
  <si>
    <t>浩劫警钟</t>
  </si>
  <si>
    <t>夢想破滅</t>
  </si>
  <si>
    <t>Shattered Dream</t>
  </si>
  <si>
    <t>夢幻の泡</t>
  </si>
  <si>
    <t>무너진 꿈</t>
  </si>
  <si>
    <t>梦想破灭</t>
  </si>
  <si>
    <t>絢爛空殼</t>
  </si>
  <si>
    <t>Hollow Brilliance</t>
  </si>
  <si>
    <t>絢爛の虚殻</t>
  </si>
  <si>
    <t>공허한 광채</t>
  </si>
  <si>
    <t>绚烂空壳</t>
  </si>
  <si>
    <t>忌妒之箭</t>
  </si>
  <si>
    <t>Arrow of Envy</t>
  </si>
  <si>
    <t>嫉妬の弓矢</t>
  </si>
  <si>
    <t>질투의 화살</t>
  </si>
  <si>
    <t>醋意穿心</t>
  </si>
  <si>
    <t>Envy Piercer</t>
  </si>
  <si>
    <t>悋気の貫撃</t>
  </si>
  <si>
    <t>질투의 명중</t>
  </si>
  <si>
    <t>哭泣冰球</t>
  </si>
  <si>
    <t>Cold Tears</t>
  </si>
  <si>
    <t>悲嘆の氷涙</t>
  </si>
  <si>
    <t>차가운 눈물</t>
  </si>
  <si>
    <t>永夜寒淚</t>
  </si>
  <si>
    <t>Nightfall Tears</t>
  </si>
  <si>
    <t>永夜の晶涙</t>
  </si>
  <si>
    <t>한기의 눈물</t>
  </si>
  <si>
    <t>永夜寒泪</t>
  </si>
  <si>
    <t>希望之星</t>
  </si>
  <si>
    <t>Star of Hope</t>
  </si>
  <si>
    <t>希望の輝星</t>
  </si>
  <si>
    <t>희망의 별</t>
  </si>
  <si>
    <t>光之約定</t>
  </si>
  <si>
    <t>Light Oath</t>
  </si>
  <si>
    <t>至光の盟約</t>
  </si>
  <si>
    <t>빛의 약속</t>
  </si>
  <si>
    <t>光之约定</t>
  </si>
  <si>
    <t>畏懼之鳥</t>
  </si>
  <si>
    <t>Dreadwing</t>
  </si>
  <si>
    <t>恐畏の紋翼</t>
  </si>
  <si>
    <t>불안의 새</t>
  </si>
  <si>
    <t>畏惧之鸟</t>
  </si>
  <si>
    <t>夢魘圖紋</t>
  </si>
  <si>
    <t>Nightmare Sigil</t>
  </si>
  <si>
    <t>悪夢の刻印</t>
  </si>
  <si>
    <t>악몽의 문양</t>
  </si>
  <si>
    <t>梦魇图纹</t>
  </si>
  <si>
    <t>憤怒隕石</t>
  </si>
  <si>
    <t>Ragefall Meteor</t>
  </si>
  <si>
    <t>憤怒の隕石</t>
  </si>
  <si>
    <t>분노의 운석</t>
  </si>
  <si>
    <t>愤怒陨石</t>
  </si>
  <si>
    <t>末日狂怒</t>
  </si>
  <si>
    <t>Doomsday Fury</t>
  </si>
  <si>
    <t>終焉の憤怒</t>
  </si>
  <si>
    <t>종말의 격노</t>
  </si>
  <si>
    <t>困惑之風</t>
  </si>
  <si>
    <t>Gust of Confusion</t>
  </si>
  <si>
    <t>困惑の渦風</t>
  </si>
  <si>
    <t>혼란의 바람</t>
  </si>
  <si>
    <t>困惑之风</t>
  </si>
  <si>
    <t>混沌龍捲風</t>
  </si>
  <si>
    <t>Chaos Cyclone</t>
  </si>
  <si>
    <t>混沌の竜巻</t>
  </si>
  <si>
    <t>혼돈의 회오리</t>
  </si>
  <si>
    <t>混沌龙卷风</t>
  </si>
  <si>
    <t>轉轉樂</t>
  </si>
  <si>
    <t>Spinjoy</t>
  </si>
  <si>
    <t>輪舞の独楽</t>
  </si>
  <si>
    <t>빙글팽이</t>
  </si>
  <si>
    <t>转转乐</t>
  </si>
  <si>
    <t>狂歡旋舞</t>
  </si>
  <si>
    <t>Carnival Whirl</t>
  </si>
  <si>
    <t>狂気の螺旋</t>
  </si>
  <si>
    <t>광란의 회전</t>
  </si>
  <si>
    <t>狂欢旋舞</t>
  </si>
  <si>
    <t>煩躁靜電</t>
  </si>
  <si>
    <t>Fretful Static</t>
  </si>
  <si>
    <t>焦燥の静電気</t>
  </si>
  <si>
    <t>찌릿 정전기</t>
  </si>
  <si>
    <t>烦躁静电</t>
  </si>
  <si>
    <t>狂躁雷獄</t>
  </si>
  <si>
    <t>Frenzy Voltage</t>
  </si>
  <si>
    <t>暴走の雷獄</t>
  </si>
  <si>
    <t>광폭한 번개</t>
  </si>
  <si>
    <t>狂躁雷狱</t>
  </si>
  <si>
    <t>興奮蝴蝶</t>
  </si>
  <si>
    <t>Butterflies in Stomach</t>
  </si>
  <si>
    <t>興奮の胡蝶</t>
  </si>
  <si>
    <t>설레는 나비</t>
  </si>
  <si>
    <t>兴奋蝴蝶</t>
  </si>
  <si>
    <t>狂舞蝶群</t>
  </si>
  <si>
    <t>Euphoria Swarm</t>
  </si>
  <si>
    <t>乱舞の彩蝶</t>
  </si>
  <si>
    <t>나비의 군무</t>
  </si>
  <si>
    <t>啟發種子</t>
  </si>
  <si>
    <t>Seed of Inspiration</t>
  </si>
  <si>
    <t>啓発の種</t>
  </si>
  <si>
    <t>영감의 씨앗</t>
  </si>
  <si>
    <t>启发种子</t>
  </si>
  <si>
    <t>覺醒之子
(希望之星)</t>
  </si>
  <si>
    <t>Awakening Bloom</t>
  </si>
  <si>
    <t>覚醒の花仙</t>
  </si>
  <si>
    <t>觉醒之子
(希望之星)</t>
  </si>
  <si>
    <t>覺醒之子
(煩躁靜電)</t>
  </si>
  <si>
    <t>각성의 꽃</t>
  </si>
  <si>
    <t>觉醒之子
(烦躁静电)</t>
  </si>
  <si>
    <t>好奇放大鏡</t>
  </si>
  <si>
    <t>Curious Lens</t>
  </si>
  <si>
    <t>探究の拡鏡</t>
  </si>
  <si>
    <t>호기심 돋보기</t>
  </si>
  <si>
    <t>好奇放大镜</t>
  </si>
  <si>
    <t>真理透視</t>
  </si>
  <si>
    <t>Sight of Truth</t>
  </si>
  <si>
    <t>真実の透眼</t>
  </si>
  <si>
    <t>진리의 통찰</t>
  </si>
  <si>
    <t>真理透视</t>
  </si>
  <si>
    <t>幸福時刻</t>
  </si>
  <si>
    <t>Moment of Bliss</t>
  </si>
  <si>
    <t>幸福の一瞬</t>
  </si>
  <si>
    <t>행복의 순간</t>
  </si>
  <si>
    <t>幸福时刻</t>
  </si>
  <si>
    <t>無盡幸福之鐘</t>
  </si>
  <si>
    <t>Endless Blessing</t>
  </si>
  <si>
    <t>無窮の福音</t>
  </si>
  <si>
    <t>무한 행복의 종</t>
  </si>
  <si>
    <t>无尽幸福之钟</t>
  </si>
  <si>
    <t>仇恨娃娃</t>
  </si>
  <si>
    <t>Hatred Doll</t>
  </si>
  <si>
    <t>恨みの人形</t>
  </si>
  <si>
    <t>증오의 인형</t>
  </si>
  <si>
    <t>憎惡詛咒</t>
  </si>
  <si>
    <t>Curse of Malice</t>
  </si>
  <si>
    <t>憎悪の呪縛</t>
  </si>
  <si>
    <t>혐오의 저주</t>
  </si>
  <si>
    <t>憎恶诅咒</t>
  </si>
  <si>
    <t>怦然心動</t>
  </si>
  <si>
    <t>The Beat of Love</t>
  </si>
  <si>
    <t>恋慕の鼓動</t>
  </si>
  <si>
    <t>설래는 마음</t>
  </si>
  <si>
    <t>怦然心动</t>
  </si>
  <si>
    <t>心心相連</t>
  </si>
  <si>
    <t>Soulmate Connection</t>
  </si>
  <si>
    <t>共鳴の心魂</t>
  </si>
  <si>
    <t>마음의 연결</t>
  </si>
  <si>
    <t>心心相连</t>
  </si>
  <si>
    <t>動力方舟</t>
  </si>
  <si>
    <t>Power Ark</t>
  </si>
  <si>
    <t>天駆ける箱船</t>
  </si>
  <si>
    <t>동력의 방주</t>
  </si>
  <si>
    <t>动力方舟</t>
  </si>
  <si>
    <t>衝進之艦</t>
  </si>
  <si>
    <t>Unstoppable Motion</t>
  </si>
  <si>
    <t>不退の戦艦</t>
  </si>
  <si>
    <t>돌진의 함선</t>
  </si>
  <si>
    <t>冲进之舰</t>
  </si>
  <si>
    <t>有稜有角</t>
  </si>
  <si>
    <t>Edgy Personality</t>
  </si>
  <si>
    <t>規矩の積木</t>
  </si>
  <si>
    <t>예리한 각도</t>
  </si>
  <si>
    <t>有棱有角</t>
  </si>
  <si>
    <t>絕佳角度</t>
  </si>
  <si>
    <t>Perfect Angle</t>
  </si>
  <si>
    <t>完璧なる角度</t>
  </si>
  <si>
    <t>완벽한 각도</t>
  </si>
  <si>
    <t>绝佳角度</t>
  </si>
  <si>
    <t>進擊戰鼓</t>
  </si>
  <si>
    <t>Drums of Triumph</t>
  </si>
  <si>
    <t>進撃の戦鼓</t>
  </si>
  <si>
    <t>진격의 드럼</t>
  </si>
  <si>
    <t>进击战鼓</t>
  </si>
  <si>
    <t>疾風之翼</t>
  </si>
  <si>
    <t>Wings of Swiftness</t>
  </si>
  <si>
    <t>疾風の天翼</t>
  </si>
  <si>
    <t>질풍의 날개</t>
  </si>
  <si>
    <t>疾风之翼</t>
  </si>
  <si>
    <t>時空沙漏</t>
  </si>
  <si>
    <t>Hourglass</t>
  </si>
  <si>
    <t>時空の砂時計</t>
  </si>
  <si>
    <t>시간의 모래시계</t>
  </si>
  <si>
    <t>时空沙漏</t>
  </si>
  <si>
    <t>棱光折射</t>
  </si>
  <si>
    <t>Prism Extension</t>
  </si>
  <si>
    <t>幻惑の稜晶</t>
  </si>
  <si>
    <t>프리즘 굴절</t>
  </si>
  <si>
    <t>長鳴之鐘</t>
  </si>
  <si>
    <t>Echoing Bell</t>
  </si>
  <si>
    <t>残響の鈴音</t>
  </si>
  <si>
    <t>울리는 종</t>
  </si>
  <si>
    <t>长鸣之钟</t>
  </si>
  <si>
    <t>飛速魔毯</t>
  </si>
  <si>
    <t>Carpet of Speed</t>
  </si>
  <si>
    <t>神速の絨毯</t>
  </si>
  <si>
    <t>마법의 양탄자</t>
  </si>
  <si>
    <t>飞速魔毯</t>
  </si>
  <si>
    <t>收集之網</t>
  </si>
  <si>
    <t>Gathernet</t>
  </si>
  <si>
    <t>網羅の収穫</t>
  </si>
  <si>
    <t>수집의 그물</t>
  </si>
  <si>
    <t>收集之网</t>
  </si>
  <si>
    <t>信念之草</t>
  </si>
  <si>
    <t>Sprout of Faith</t>
  </si>
  <si>
    <t>信念の芳花</t>
  </si>
  <si>
    <t>신념의 풀</t>
  </si>
  <si>
    <t>靈感水蛭</t>
  </si>
  <si>
    <t>Idea Leech</t>
  </si>
  <si>
    <t>霊感の吸血蛭</t>
  </si>
  <si>
    <t>영감의 거머리</t>
  </si>
  <si>
    <t>灵感水蛭</t>
  </si>
  <si>
    <t>勝利之旗</t>
  </si>
  <si>
    <t>Banner of Victory</t>
  </si>
  <si>
    <t>凱旋の戦旗</t>
  </si>
  <si>
    <t>승리의 깃발</t>
  </si>
  <si>
    <t>胜利之旗</t>
  </si>
  <si>
    <t>堅固之盾</t>
  </si>
  <si>
    <t>Ironhold Shield</t>
  </si>
  <si>
    <t>守護の戦盾</t>
  </si>
  <si>
    <t>단단한 방패</t>
  </si>
  <si>
    <t>坚固之盾</t>
  </si>
  <si>
    <t>時序之筆</t>
  </si>
  <si>
    <t>Chrono Pen</t>
  </si>
  <si>
    <t>刻時の羽筆</t>
  </si>
  <si>
    <t>시간의 붓</t>
  </si>
  <si>
    <t>时序之笔</t>
  </si>
  <si>
    <t>小包袱</t>
  </si>
  <si>
    <t>Sweet Burden</t>
  </si>
  <si>
    <t>プニョ三連星</t>
  </si>
  <si>
    <t>작은 꾸러미</t>
  </si>
  <si>
    <t>夢想天地</t>
  </si>
  <si>
    <t>Dream Realm</t>
  </si>
  <si>
    <t>夢の天地</t>
  </si>
  <si>
    <t>꿈의 텐트</t>
  </si>
  <si>
    <t>梦想天地</t>
  </si>
  <si>
    <t>夢想行囊</t>
  </si>
  <si>
    <t>Dream Bag</t>
  </si>
  <si>
    <t>夢のバッグ</t>
  </si>
  <si>
    <t>꿈의 가방</t>
  </si>
  <si>
    <t>梦想行囊</t>
  </si>
  <si>
    <t>夢想披風</t>
  </si>
  <si>
    <t>Dream Cape</t>
  </si>
  <si>
    <t>夢のケープ</t>
  </si>
  <si>
    <t>꿈의 망토</t>
  </si>
  <si>
    <t>梦想披风</t>
  </si>
  <si>
    <t>夢想許願燈</t>
  </si>
  <si>
    <t>Dream Lantern</t>
  </si>
  <si>
    <t>夢の願い灯</t>
  </si>
  <si>
    <t>꿈의 소원등</t>
  </si>
  <si>
    <t>梦想许愿灯</t>
  </si>
  <si>
    <t>夢想手套</t>
  </si>
  <si>
    <t>Dream Gloves</t>
  </si>
  <si>
    <t>夢のグローブ</t>
  </si>
  <si>
    <t>꿈의 장갑</t>
  </si>
  <si>
    <t>梦想手套</t>
  </si>
  <si>
    <t>征服者營帳</t>
  </si>
  <si>
    <t>Conqueror Tent</t>
  </si>
  <si>
    <t>征服者の野営帳</t>
  </si>
  <si>
    <t>정복자의 천막</t>
  </si>
  <si>
    <t>征服者营帐</t>
  </si>
  <si>
    <t>征服者行囊</t>
  </si>
  <si>
    <t>Conqueror Pack</t>
  </si>
  <si>
    <t>征服者のバッグ</t>
  </si>
  <si>
    <t>정복자의 가방</t>
  </si>
  <si>
    <t>征服者披風</t>
  </si>
  <si>
    <t>Conqueror Cape</t>
  </si>
  <si>
    <t>征服者のケープ</t>
  </si>
  <si>
    <t>정복자의 망토</t>
  </si>
  <si>
    <t>征服者披风</t>
  </si>
  <si>
    <t>征服者火盞</t>
  </si>
  <si>
    <t>Conqueror Torch</t>
  </si>
  <si>
    <t>征服者のトーチ</t>
  </si>
  <si>
    <t>정복자의 등불</t>
  </si>
  <si>
    <t>征服者火盏</t>
  </si>
  <si>
    <t>征服者手套</t>
  </si>
  <si>
    <t>Conqueror Gloves</t>
  </si>
  <si>
    <t>征服者のグローブ</t>
  </si>
  <si>
    <t>정복자의 장갑</t>
  </si>
  <si>
    <t>偽裝葉棚</t>
  </si>
  <si>
    <t>Leafshade Shelter</t>
  </si>
  <si>
    <t>身隠しのシェルター</t>
  </si>
  <si>
    <t>위장 잎 천막</t>
  </si>
  <si>
    <t>伪装叶棚</t>
  </si>
  <si>
    <t>野林採集囊</t>
  </si>
  <si>
    <t>Forager Pouch</t>
  </si>
  <si>
    <t>採集者の袋</t>
  </si>
  <si>
    <t>야생 채집 가방</t>
  </si>
  <si>
    <t>野林采集囊</t>
  </si>
  <si>
    <t>森林披衣</t>
  </si>
  <si>
    <t>Forest Mantle</t>
  </si>
  <si>
    <t>森のマント</t>
  </si>
  <si>
    <t>숲의 망토</t>
  </si>
  <si>
    <t>螢火罐</t>
  </si>
  <si>
    <t>Firefly Jar</t>
  </si>
  <si>
    <t>蛍の壺</t>
  </si>
  <si>
    <t>반딧불 병</t>
  </si>
  <si>
    <t>萤火罐</t>
  </si>
  <si>
    <t>樹皮護手</t>
  </si>
  <si>
    <t>Bark Bracers</t>
  </si>
  <si>
    <t>樹皮の手甲</t>
  </si>
  <si>
    <t>나무껍질 장갑</t>
  </si>
  <si>
    <t>树皮护手</t>
  </si>
  <si>
    <t>遷徙野棚</t>
  </si>
  <si>
    <t>Wanderer Lodge</t>
  </si>
  <si>
    <t>流浪者のロッジ</t>
  </si>
  <si>
    <t>이동식 야영 천막</t>
  </si>
  <si>
    <t>迁徙野棚</t>
  </si>
  <si>
    <t>漂泊肩袋</t>
  </si>
  <si>
    <t>Rover Satchel</t>
  </si>
  <si>
    <t>漂泊の肩掛け</t>
  </si>
  <si>
    <t>방랑자의 숄더백</t>
  </si>
  <si>
    <t>野旅皮披肩</t>
  </si>
  <si>
    <t>Safari Shawl</t>
  </si>
  <si>
    <t>旅者の皮ケープ</t>
  </si>
  <si>
    <t>모험가의 가죽 숄</t>
  </si>
  <si>
    <t>遠途燭燈</t>
  </si>
  <si>
    <t>Trailstar Candle</t>
  </si>
  <si>
    <t>道標のロウソク</t>
  </si>
  <si>
    <t>길잡이 촛불</t>
  </si>
  <si>
    <t>远途烛灯</t>
  </si>
  <si>
    <t>荒野厚掌套</t>
  </si>
  <si>
    <t>Wilderness Gloves</t>
  </si>
  <si>
    <t>荒野の厚篭手</t>
  </si>
  <si>
    <t>야외용 장갑</t>
  </si>
  <si>
    <t>世外隱居</t>
  </si>
  <si>
    <t>Hidden Retreat</t>
  </si>
  <si>
    <t>世外の隠れ家</t>
  </si>
  <si>
    <t>은둔용 거처</t>
  </si>
  <si>
    <t>世外隐居</t>
  </si>
  <si>
    <t>幽徑旅囊</t>
  </si>
  <si>
    <t>Path Pouch</t>
  </si>
  <si>
    <t>幽径のバッグ</t>
  </si>
  <si>
    <t>오솔길 가방</t>
  </si>
  <si>
    <t>幽径旅囊</t>
  </si>
  <si>
    <t>隱谷披風</t>
  </si>
  <si>
    <t>Valley Cape</t>
  </si>
  <si>
    <t>隠れ谷のケープ</t>
  </si>
  <si>
    <t>골짜기 망토</t>
  </si>
  <si>
    <t>隐谷披风</t>
  </si>
  <si>
    <t>幽谷微光</t>
  </si>
  <si>
    <t>Vale Glimmer</t>
  </si>
  <si>
    <t>幽谷の燐光</t>
  </si>
  <si>
    <t>협곡 랜턴</t>
  </si>
  <si>
    <t>緘默手套</t>
  </si>
  <si>
    <t>Silence Gloves</t>
  </si>
  <si>
    <t>沈黙のグローブ</t>
  </si>
  <si>
    <t>침묵 장갑</t>
  </si>
  <si>
    <t>缄默手套</t>
  </si>
  <si>
    <t>靜修營舍</t>
  </si>
  <si>
    <t>Sanctum Lodge</t>
  </si>
  <si>
    <t>秘蹟のロッジ</t>
  </si>
  <si>
    <t>수행 숙소</t>
  </si>
  <si>
    <t>静修营舍</t>
  </si>
  <si>
    <t>修行布囊</t>
  </si>
  <si>
    <t>Monk's Pouch</t>
  </si>
  <si>
    <t>修行の布袋</t>
  </si>
  <si>
    <t>수행 자루</t>
  </si>
  <si>
    <t>禱紋披巾</t>
  </si>
  <si>
    <t>Prayer Shawl</t>
  </si>
  <si>
    <t>祈りのショール</t>
  </si>
  <si>
    <t>기원 문양 숄</t>
  </si>
  <si>
    <t>祷纹披巾</t>
  </si>
  <si>
    <t>守望燈</t>
  </si>
  <si>
    <t>Vigil Lantern</t>
  </si>
  <si>
    <t>見守りの灯</t>
  </si>
  <si>
    <t>수호의 등불</t>
  </si>
  <si>
    <t>守望灯</t>
  </si>
  <si>
    <t>祈願手套</t>
  </si>
  <si>
    <t>Wish Gloves</t>
  </si>
  <si>
    <t>祈願のグローブ</t>
  </si>
  <si>
    <t>기원의 장갑</t>
  </si>
  <si>
    <t>祈愿手套</t>
  </si>
  <si>
    <t>研究前哨站</t>
  </si>
  <si>
    <t>Research Outpost</t>
  </si>
  <si>
    <t>研究前哨基地</t>
  </si>
  <si>
    <t>연구 전초기지</t>
  </si>
  <si>
    <t xml:space="preserve">調查工具包 </t>
  </si>
  <si>
    <t>Surveyor's Toolbag</t>
  </si>
  <si>
    <t>測量士のツール箱</t>
  </si>
  <si>
    <t>조사 키트</t>
  </si>
  <si>
    <t xml:space="preserve">调查工具包 </t>
  </si>
  <si>
    <t>研究員罩袍</t>
  </si>
  <si>
    <t>Researcher's Robe</t>
  </si>
  <si>
    <t>研究員のローブ</t>
  </si>
  <si>
    <t>연구원 로브</t>
  </si>
  <si>
    <t>研究员罩袍</t>
  </si>
  <si>
    <t>探勘燈</t>
  </si>
  <si>
    <t>Explorer's Lamp</t>
  </si>
  <si>
    <t>探査灯</t>
  </si>
  <si>
    <t>탐사등</t>
  </si>
  <si>
    <t>探勘灯</t>
  </si>
  <si>
    <t>探勘手套</t>
  </si>
  <si>
    <t>Survey Gloves</t>
  </si>
  <si>
    <t>探査用グローブ</t>
  </si>
  <si>
    <t>탐사 장갑</t>
  </si>
  <si>
    <t>燈具</t>
  </si>
  <si>
    <t>Lantern</t>
  </si>
  <si>
    <t>ランプ</t>
  </si>
  <si>
    <t>조명</t>
  </si>
  <si>
    <t>灯具</t>
  </si>
  <si>
    <t>手套</t>
  </si>
  <si>
    <t>Gloves</t>
  </si>
  <si>
    <t>グローブ</t>
  </si>
  <si>
    <t>장갑</t>
  </si>
  <si>
    <t>帳篷</t>
  </si>
  <si>
    <t>Tent</t>
  </si>
  <si>
    <t>テント</t>
  </si>
  <si>
    <t>텐트</t>
  </si>
  <si>
    <t>帐篷</t>
  </si>
  <si>
    <t>行囊</t>
  </si>
  <si>
    <t>Bag</t>
  </si>
  <si>
    <t>バッグ</t>
  </si>
  <si>
    <t>가방</t>
  </si>
  <si>
    <t>披風</t>
  </si>
  <si>
    <t>Cape</t>
  </si>
  <si>
    <t>ケープ</t>
  </si>
  <si>
    <t>망토</t>
  </si>
  <si>
    <t>披风</t>
  </si>
  <si>
    <t>武器</t>
  </si>
  <si>
    <t>Weapon</t>
  </si>
  <si>
    <t>무기</t>
  </si>
  <si>
    <t>合成</t>
  </si>
  <si>
    <t>craft</t>
  </si>
  <si>
    <t>クラフト</t>
  </si>
  <si>
    <t>합성</t>
  </si>
  <si>
    <t>光鑄</t>
  </si>
  <si>
    <t>Lightcast</t>
  </si>
  <si>
    <t>光鋳</t>
  </si>
  <si>
    <t>재련</t>
  </si>
  <si>
    <t>神器</t>
  </si>
  <si>
    <t>レリック</t>
  </si>
  <si>
    <t>유물</t>
  </si>
  <si>
    <t>驚嚇蛙</t>
  </si>
  <si>
    <t>Jumpie</t>
  </si>
  <si>
    <t>オドロクン</t>
  </si>
  <si>
    <t>깜짝개굴</t>
  </si>
  <si>
    <t>惊吓蛙</t>
  </si>
  <si>
    <t>蛙蛙叫</t>
  </si>
  <si>
    <t>Croak Shock</t>
  </si>
  <si>
    <t>ゲロ鳴く</t>
  </si>
  <si>
    <t>개굴개굴</t>
  </si>
  <si>
    <t>蛙鳴驚人</t>
  </si>
  <si>
    <t>Ribbit Riot</t>
  </si>
  <si>
    <t>ゲロ驚く</t>
  </si>
  <si>
    <t>개굴파워</t>
  </si>
  <si>
    <t>蛙鸣惊人</t>
  </si>
  <si>
    <t>暴怒猴</t>
  </si>
  <si>
    <t>Grumpie</t>
  </si>
  <si>
    <t>バクサル</t>
  </si>
  <si>
    <t>깨부숭</t>
  </si>
  <si>
    <t>怒氣砰砰</t>
  </si>
  <si>
    <t>Boomrage</t>
  </si>
  <si>
    <t>バンバン怒り</t>
  </si>
  <si>
    <t>분노충전</t>
  </si>
  <si>
    <t>怒气砰砰</t>
  </si>
  <si>
    <t>猴力全開</t>
  </si>
  <si>
    <t>Monkey Power</t>
  </si>
  <si>
    <t>モンキー１００％</t>
  </si>
  <si>
    <t>분노파워</t>
  </si>
  <si>
    <t>猴力全开</t>
  </si>
  <si>
    <t>溫柔兔</t>
  </si>
  <si>
    <t>Milddie</t>
  </si>
  <si>
    <t>ヤサギ</t>
  </si>
  <si>
    <t>젠틀빗</t>
  </si>
  <si>
    <t>温柔兔</t>
  </si>
  <si>
    <t>軟綿綿攻擊</t>
  </si>
  <si>
    <t>Pillow Pounce</t>
  </si>
  <si>
    <t>ふわふわパンチ</t>
  </si>
  <si>
    <t>푹신푹신 펀치</t>
  </si>
  <si>
    <t>软绵绵攻击</t>
  </si>
  <si>
    <t>溫柔引力</t>
  </si>
  <si>
    <t>Gentle Pull</t>
  </si>
  <si>
    <t>柔かい引力</t>
  </si>
  <si>
    <t>신사의 품격</t>
  </si>
  <si>
    <t>温柔引力</t>
  </si>
  <si>
    <t>快樂鼠</t>
  </si>
  <si>
    <t>Cheerie</t>
  </si>
  <si>
    <t>ハピネチュウ</t>
  </si>
  <si>
    <t>해피쥐</t>
  </si>
  <si>
    <t>快乐鼠</t>
  </si>
  <si>
    <t>糖果子彈</t>
  </si>
  <si>
    <t>Candy Shot</t>
  </si>
  <si>
    <t>飴ショット</t>
  </si>
  <si>
    <t>캔디 불렛</t>
  </si>
  <si>
    <t>糖果子弹</t>
  </si>
  <si>
    <t>甜甜圈圈</t>
  </si>
  <si>
    <t>Time for Sweets</t>
  </si>
  <si>
    <t>ドーナリング</t>
  </si>
  <si>
    <t>메리엔다</t>
  </si>
  <si>
    <t>膽小鳥</t>
  </si>
  <si>
    <t>Timidie</t>
  </si>
  <si>
    <t>ビビリ</t>
  </si>
  <si>
    <t>오들새</t>
  </si>
  <si>
    <t>胆小鸟</t>
  </si>
  <si>
    <t>小心翼翼</t>
  </si>
  <si>
    <t>Soft Treader</t>
  </si>
  <si>
    <t>慎重のつばさ</t>
  </si>
  <si>
    <t>조심조심</t>
  </si>
  <si>
    <t>驚弓之鳥</t>
  </si>
  <si>
    <t>Startled Flight</t>
  </si>
  <si>
    <t>雲隠れ</t>
  </si>
  <si>
    <t>혼비백산</t>
  </si>
  <si>
    <t>惊弓之鸟</t>
  </si>
  <si>
    <t>悲傷鯨魚</t>
  </si>
  <si>
    <t>Wailie</t>
  </si>
  <si>
    <t>シクシクジラ</t>
  </si>
  <si>
    <t>울먹고래</t>
  </si>
  <si>
    <t>悲伤鲸鱼</t>
  </si>
  <si>
    <t>難受想哭</t>
  </si>
  <si>
    <t>Tearful Torment</t>
  </si>
  <si>
    <t>ツライナミ</t>
  </si>
  <si>
    <t>울먹울먹</t>
  </si>
  <si>
    <t>难受想哭</t>
  </si>
  <si>
    <t>鯨天大哭</t>
  </si>
  <si>
    <t>Oceanic Wail</t>
  </si>
  <si>
    <t>ゴウキュウミ</t>
  </si>
  <si>
    <t>대성통곡</t>
  </si>
  <si>
    <t>鲸天大哭</t>
  </si>
  <si>
    <t>忌妒蛇</t>
  </si>
  <si>
    <t>Jelosssie</t>
  </si>
  <si>
    <t>シットビ</t>
  </si>
  <si>
    <t>질투뱀</t>
  </si>
  <si>
    <t>酸葡萄子彈</t>
  </si>
  <si>
    <t>Sour Bullet</t>
  </si>
  <si>
    <t>酸液弾丸</t>
  </si>
  <si>
    <t>신포도 탄환</t>
  </si>
  <si>
    <t>酸葡萄子弹</t>
  </si>
  <si>
    <t>醋意爆發</t>
  </si>
  <si>
    <t>Jealousy Burst</t>
  </si>
  <si>
    <t>ヤキモチ爆弾</t>
  </si>
  <si>
    <t>질투폭발</t>
  </si>
  <si>
    <t>醋意爆发</t>
  </si>
  <si>
    <t>正義鹿</t>
  </si>
  <si>
    <t>Justie</t>
  </si>
  <si>
    <t>セイギジカ</t>
  </si>
  <si>
    <t>정의뿔</t>
  </si>
  <si>
    <t>正义鹿</t>
  </si>
  <si>
    <t>小鹿亂撞</t>
  </si>
  <si>
    <t>Deerie Dash</t>
  </si>
  <si>
    <t>乱れずつき</t>
  </si>
  <si>
    <t>사슴 난투</t>
  </si>
  <si>
    <t>小鹿乱撞</t>
  </si>
  <si>
    <t>正義撞擊</t>
  </si>
  <si>
    <t>Justice Charge</t>
  </si>
  <si>
    <t>セイギダッシュ</t>
  </si>
  <si>
    <t>정의의 돌진</t>
  </si>
  <si>
    <t>正义撞击</t>
  </si>
  <si>
    <t>敏感旅伴</t>
  </si>
  <si>
    <t>Sensitive Companion</t>
  </si>
  <si>
    <t>敏感タイプ</t>
  </si>
  <si>
    <t>감정 반응형</t>
  </si>
  <si>
    <t>暖心旅伴</t>
  </si>
  <si>
    <t>Warm Companion</t>
  </si>
  <si>
    <t>治癒タイプ</t>
  </si>
  <si>
    <t>온기 지원형</t>
  </si>
  <si>
    <t>激進旅伴</t>
  </si>
  <si>
    <t>Progressive Companion</t>
  </si>
  <si>
    <t>猛攻タイプ</t>
  </si>
  <si>
    <t>정신 피해형</t>
  </si>
  <si>
    <t>激进旅伴</t>
  </si>
  <si>
    <t>靜默旅伴</t>
  </si>
  <si>
    <t>Reflective Companion</t>
  </si>
  <si>
    <t>静寂タイプ</t>
  </si>
  <si>
    <t>성찰 반격형</t>
  </si>
  <si>
    <t>静默旅伴</t>
  </si>
  <si>
    <t>好感度</t>
  </si>
  <si>
    <t>Affection</t>
  </si>
  <si>
    <t>三角飯糰</t>
  </si>
  <si>
    <t>Rice Ball</t>
  </si>
  <si>
    <t>おにぎり</t>
  </si>
  <si>
    <t>삼각 김밥</t>
  </si>
  <si>
    <t>三明治</t>
  </si>
  <si>
    <t>Sandwich</t>
  </si>
  <si>
    <t>サンドイッチ</t>
  </si>
  <si>
    <t>샌드위치</t>
  </si>
  <si>
    <t>心力</t>
  </si>
  <si>
    <t>Stamina</t>
  </si>
  <si>
    <t>스태미나</t>
  </si>
  <si>
    <t>金幣 (大)</t>
  </si>
  <si>
    <t>Coin (L)</t>
  </si>
  <si>
    <t>金貨 (大)</t>
  </si>
  <si>
    <t>금화(대)</t>
  </si>
  <si>
    <t>金幣 (小)</t>
  </si>
  <si>
    <t>Coin (S)</t>
  </si>
  <si>
    <t>金貨 (小)</t>
  </si>
  <si>
    <t>금화(중)</t>
  </si>
  <si>
    <t>金幣 (中)</t>
  </si>
  <si>
    <t>Coin (M)</t>
  </si>
  <si>
    <t>金貨 (中)</t>
  </si>
  <si>
    <t>금화(소)</t>
  </si>
  <si>
    <t>心塵秘窟掃蕩券</t>
  </si>
  <si>
    <t>Coin Cave Sweep Ticket</t>
  </si>
  <si>
    <t>金貨秘窟スキップ券</t>
  </si>
  <si>
    <t>금화 동굴 소탕권</t>
  </si>
  <si>
    <t>心魔試煉入場券</t>
  </si>
  <si>
    <t>Final Nightmare Ticket</t>
  </si>
  <si>
    <t>心魔の試練入場券</t>
  </si>
  <si>
    <t>악의 시련 입장권</t>
  </si>
  <si>
    <t>手套圖紙</t>
  </si>
  <si>
    <t>Gloves Blueprint</t>
  </si>
  <si>
    <t>グローブ設計図</t>
  </si>
  <si>
    <t>장갑 도면</t>
  </si>
  <si>
    <t>火焰之花</t>
  </si>
  <si>
    <t>Blazing Bloom</t>
  </si>
  <si>
    <t>炎の花</t>
  </si>
  <si>
    <t>불의 꽃</t>
  </si>
  <si>
    <t>可頌麵包</t>
  </si>
  <si>
    <t>Croissant</t>
  </si>
  <si>
    <t>クロワッサン</t>
  </si>
  <si>
    <t>크루아상</t>
  </si>
  <si>
    <t>史詩手套通用材料</t>
  </si>
  <si>
    <t>General Gloves Crafting Material (Epic)</t>
  </si>
  <si>
    <t>英雄のグローブ汎用材料</t>
  </si>
  <si>
    <t>에픽 장갑 공용 재료</t>
  </si>
  <si>
    <t>史詩行囊通用材料</t>
  </si>
  <si>
    <t>General Satchel Crafting Material (Epic)</t>
  </si>
  <si>
    <t>英雄のバッグ汎用材料</t>
  </si>
  <si>
    <t>에픽 가방 공용 재료</t>
  </si>
  <si>
    <t>史詩披風通用材料</t>
  </si>
  <si>
    <t>General Cloak Crafting Material (Epic)</t>
  </si>
  <si>
    <t>英雄のケープ汎用材料</t>
  </si>
  <si>
    <t>에픽 망토 공용 재료</t>
  </si>
  <si>
    <t>史詩武器通用材料</t>
  </si>
  <si>
    <t>General Weapon Crafting Material (Epic)</t>
  </si>
  <si>
    <t>英雄の武器汎用材料</t>
  </si>
  <si>
    <t>에픽 무기 공용 재료</t>
  </si>
  <si>
    <t>史詩帳篷通用材料</t>
  </si>
  <si>
    <t>General Tent Crafting Material (Epic)</t>
  </si>
  <si>
    <t>英雄のテント汎用材料</t>
  </si>
  <si>
    <t>에픽 텐트 공용 재료</t>
  </si>
  <si>
    <t>史詩燈具通用材料</t>
  </si>
  <si>
    <t>General Lantern Crafting Material (Epic)</t>
  </si>
  <si>
    <t>英雄のランプ汎用材料</t>
  </si>
  <si>
    <t>에픽 조명 공용 재료</t>
  </si>
  <si>
    <t>奶油鬆餅</t>
  </si>
  <si>
    <t>Cream Waffle</t>
  </si>
  <si>
    <t>クリームワッフル</t>
  </si>
  <si>
    <t>생크림 팬케이크</t>
  </si>
  <si>
    <t>巧克力夾心餅乾</t>
  </si>
  <si>
    <t>Chocolate Cookie</t>
  </si>
  <si>
    <t>チョコサンド</t>
  </si>
  <si>
    <t>초코 샌드 쿠키</t>
  </si>
  <si>
    <t>永生水母</t>
  </si>
  <si>
    <t>Immortal Jellyfish</t>
  </si>
  <si>
    <t>不死身のクラゲ</t>
  </si>
  <si>
    <t>영생 해파리</t>
  </si>
  <si>
    <t>生菜沙拉</t>
  </si>
  <si>
    <t>Lettuce Salad</t>
  </si>
  <si>
    <t>レタスサラダ</t>
  </si>
  <si>
    <t>그린 샐러드</t>
  </si>
  <si>
    <t>光之紙：征服</t>
  </si>
  <si>
    <t>Light Script: Conquest</t>
  </si>
  <si>
    <t>光の紙：征服</t>
  </si>
  <si>
    <t>빛의 종이: 정복</t>
  </si>
  <si>
    <t>光之紙：夢想</t>
  </si>
  <si>
    <t>Light Script: Dream</t>
  </si>
  <si>
    <t>光の紙：夢想</t>
  </si>
  <si>
    <t>빛의 종이: 꿈</t>
  </si>
  <si>
    <t>光光結晶</t>
  </si>
  <si>
    <t>Lumo Crystal</t>
  </si>
  <si>
    <t>ヒカリルの結晶</t>
  </si>
  <si>
    <t>루모의 결정</t>
  </si>
  <si>
    <t>光球重置藥水</t>
  </si>
  <si>
    <t>Lightling Reset Elixir</t>
  </si>
  <si>
    <t>ヒカリルの還元液</t>
  </si>
  <si>
    <t>빛의 정령 초기화 물약</t>
  </si>
  <si>
    <t>光球能量</t>
  </si>
  <si>
    <t>Lightling Energy</t>
  </si>
  <si>
    <t>ヒカリルのエネルギー</t>
  </si>
  <si>
    <t>빛의 정령 에너지</t>
  </si>
  <si>
    <t>光鑄素材</t>
  </si>
  <si>
    <t>Lightcast Material</t>
  </si>
  <si>
    <t>光鋳の素材</t>
  </si>
  <si>
    <t>재련 재료</t>
  </si>
  <si>
    <t>共鳴升級光芒</t>
  </si>
  <si>
    <t>Resonance Upgrade Glow</t>
  </si>
  <si>
    <t>共鳴強化の光</t>
  </si>
  <si>
    <t>공명 강화의 빛</t>
  </si>
  <si>
    <t>冰淇淋</t>
  </si>
  <si>
    <t>Ice Cream</t>
  </si>
  <si>
    <t>アイスクリーム</t>
  </si>
  <si>
    <t>아이스크림</t>
  </si>
  <si>
    <t>冰塊</t>
  </si>
  <si>
    <t>Ice Cube</t>
  </si>
  <si>
    <t>アイスキューブ</t>
  </si>
  <si>
    <t>얼음</t>
  </si>
  <si>
    <t>守護徽章</t>
  </si>
  <si>
    <t>Guardian Emblem</t>
  </si>
  <si>
    <t>守護の紋章</t>
  </si>
  <si>
    <t>수호 배지</t>
  </si>
  <si>
    <t>收藏品寶箱鑰匙</t>
  </si>
  <si>
    <t>Collectibles Chest Key</t>
  </si>
  <si>
    <t>コレクション宝箱の鍵</t>
  </si>
  <si>
    <t>수집품 상자 열쇠</t>
  </si>
  <si>
    <t>自選光球結晶</t>
  </si>
  <si>
    <t>Selection Lightling Crystal Chest</t>
  </si>
  <si>
    <t>セレクトヒカリル結晶</t>
  </si>
  <si>
    <t>빛의 정령 결정 선택</t>
  </si>
  <si>
    <t>S</t>
  </si>
  <si>
    <t>自選寶箱 - 回憶片段 第1期(精良)</t>
  </si>
  <si>
    <t>Choice Chest - Memory Fragment 1st Edition(Refined)</t>
  </si>
  <si>
    <t>選べる宝箱 - 回想の断片 第1弾 (上質)</t>
  </si>
  <si>
    <t>선택 상자- 기억 조각 시즌1 (고급)</t>
  </si>
  <si>
    <t>自選寶箱 - 回憶片段 第1期(優秀)</t>
  </si>
  <si>
    <t>Choice Chest - Memory Fragment 1st Edition(Rare)</t>
  </si>
  <si>
    <t>選べる宝箱 - 回想の断片 第1弾 (優秀)</t>
  </si>
  <si>
    <t>선택 상자- 기억 조각 시즌1 (희귀)</t>
  </si>
  <si>
    <t>自選寶箱 - 回憶片段 第1期(傑出)</t>
  </si>
  <si>
    <t>Choice Chest - Memory Fragment 1st Edition(Elite)</t>
  </si>
  <si>
    <t>選べる宝箱 - 回想の断片 第1弾 (卓越)</t>
  </si>
  <si>
    <t>선택 상자- 기억 조각 시즌1 (영웅)</t>
  </si>
  <si>
    <t>自選寶箱 - 回憶片段 第1期(史詩)</t>
  </si>
  <si>
    <t>Choice Chest - Memory Fragment 1st Edition(Epic)</t>
  </si>
  <si>
    <t>選べる宝箱 - 回想の断片 第1弾 (英雄)</t>
  </si>
  <si>
    <t>선택 상자- 기억 조각 시즌1 (에픽)</t>
  </si>
  <si>
    <t>自選寶箱 - 回憶片段 第1期(傳奇)</t>
  </si>
  <si>
    <t>Choice Chest - Memory Fragment 1st Edition(Legendary)</t>
  </si>
  <si>
    <t>選べる宝箱 - 回想の断片 第1弾 (伝説)</t>
  </si>
  <si>
    <t>선택 상자- 기억 조각 시즌1 (전설)</t>
  </si>
  <si>
    <t>自選寶箱 - 收藏品 第1期(普通)</t>
  </si>
  <si>
    <t>Choice Chest - Collectible 1st Edition(Common)</t>
  </si>
  <si>
    <t>選べる宝箱 - コレクション 第1弾 (普通)</t>
  </si>
  <si>
    <t>선택 상자- 수집품 시즌1 (일반)</t>
  </si>
  <si>
    <t>自選寶箱 - 收藏品 第1期(精良)</t>
  </si>
  <si>
    <t>Choice Chest - Collectible 1st Edition(Refined)</t>
  </si>
  <si>
    <t>選べる宝箱 - コレクション 第1弾 (上質)</t>
  </si>
  <si>
    <t>선택 상자- 수집품 시즌1 (고급)</t>
  </si>
  <si>
    <t>自選寶箱 - 收藏品 第1期(優秀)</t>
  </si>
  <si>
    <t>Choice Chest - Collectible 1st Edition(Rare)</t>
  </si>
  <si>
    <t>選べる宝箱 - コレクション 第1弾 (優秀)</t>
  </si>
  <si>
    <t>선택 상자- 수집품 시즌1 (희귀)</t>
  </si>
  <si>
    <t>自選寶箱 - 收藏品 第1期(傑出)</t>
  </si>
  <si>
    <t>Choice Chest - Collectible 1st Edition(Elite)</t>
  </si>
  <si>
    <t>選べる宝箱 - コレクション 第1弾 (卓越)</t>
  </si>
  <si>
    <t>선택 상자- 수집품 시즌1 (에픽)</t>
  </si>
  <si>
    <t>`</t>
  </si>
  <si>
    <t>自選寶箱 - 收藏品 第1期(史詩)</t>
  </si>
  <si>
    <t>Choice Chest - Collectible 1st Edition(Epic)</t>
  </si>
  <si>
    <t>選べる宝箱 - コレクション 第1弾 (英雄)</t>
  </si>
  <si>
    <t>선택 상자- 수집품 시즌1 (영웅)</t>
  </si>
  <si>
    <t>自選寶箱 - 收藏品 第1期(傳奇)</t>
  </si>
  <si>
    <t>Choice Chest - Collectible 1st Edition(Legendary)</t>
  </si>
  <si>
    <t>選べる宝箱 - コレクション 第1弾 (伝説)</t>
  </si>
  <si>
    <t>선택 상자- 수집품 시즌1 (전설)</t>
  </si>
  <si>
    <t>自選寶箱 - 念痕(普通)</t>
  </si>
  <si>
    <t>Choice Chest - Imprint(Common)</t>
  </si>
  <si>
    <t>選べる宝箱 - 念痕 (普通)</t>
  </si>
  <si>
    <t>선택 상자- 각인 (일반)</t>
  </si>
  <si>
    <t>自選寶箱 - 念痕(精良)</t>
  </si>
  <si>
    <t>Choice Chest - Imprint(Refined)</t>
  </si>
  <si>
    <t>選べる宝箱 - 念痕 (上質)</t>
  </si>
  <si>
    <t>선택 상자- 각인 (고급)</t>
  </si>
  <si>
    <t>自選寶箱 - 念痕(優秀)</t>
  </si>
  <si>
    <t>Choice Chest - Imprint(Rare)</t>
  </si>
  <si>
    <t>選べる宝箱 - 念痕 (優秀)</t>
  </si>
  <si>
    <t>선택 상자- 각인 (희귀)</t>
  </si>
  <si>
    <t>自選寶箱 - 念痕(傑出)</t>
  </si>
  <si>
    <t>Choice Chest - Imprint(Elite)</t>
  </si>
  <si>
    <t>選べる宝箱 - 念痕 (卓越)</t>
  </si>
  <si>
    <t>선택 상자- 각인 (영웅)</t>
  </si>
  <si>
    <t>自選寶箱 - 念痕(史詩)</t>
  </si>
  <si>
    <t>Choice Chest - Imprint(Epic)</t>
  </si>
  <si>
    <t>選べる宝箱 - 念痕 (英雄)</t>
  </si>
  <si>
    <t>선택 상자- 각인 (에픽)</t>
  </si>
  <si>
    <t>自選寶箱 - 念痕(傳奇)</t>
  </si>
  <si>
    <t>Choice Chest - Imprint(Legendary)</t>
  </si>
  <si>
    <t>選べる宝箱 - 念痕 (伝説)</t>
  </si>
  <si>
    <t>선택 상자- 각인 (전설)</t>
  </si>
  <si>
    <t>自選寶箱 - 旅伴伙食(優秀)</t>
  </si>
  <si>
    <t>Choice Chest - Companion Food(Rare)</t>
  </si>
  <si>
    <t>選べる宝箱 - 仲間フード (優秀)</t>
  </si>
  <si>
    <t>선택 상자- 동료 간식 (희귀)</t>
  </si>
  <si>
    <t>自選寶箱 - 旅伴伙食(傑出)</t>
  </si>
  <si>
    <t>Choice Chest - Companion Food(Elite)</t>
  </si>
  <si>
    <t>選べる宝箱 - 仲間フード (卓越)</t>
  </si>
  <si>
    <t>선택 상자- 동료 간식 (영웅)</t>
  </si>
  <si>
    <t>自選寶箱 - 旅伴伙食(史詩)</t>
  </si>
  <si>
    <t>Choice Chest - Companion Food(Epic)</t>
  </si>
  <si>
    <t>選べる宝箱 - 仲間フード (英雄)</t>
  </si>
  <si>
    <t>선택 상자- 동료 간식 (에픽)</t>
  </si>
  <si>
    <t>自選寶箱 - 旅伴伙食(傳奇)</t>
  </si>
  <si>
    <t>Choice Chest - Companion Food(Legendary)</t>
  </si>
  <si>
    <t>選べる宝箱 - 仲間フード (伝説)</t>
  </si>
  <si>
    <t>선택 상자- 동료 간식 (전설)</t>
  </si>
  <si>
    <t>自選寶箱 - 旅伴(普通)</t>
  </si>
  <si>
    <t>Choice Chest - Companion(Common)</t>
  </si>
  <si>
    <t>選べる宝箱 - 仲間 (普通)</t>
  </si>
  <si>
    <t>선택 상자- 동료 (일반)</t>
  </si>
  <si>
    <t>自選寶箱 - 旅伴(精良)</t>
  </si>
  <si>
    <t>Choice Chest - Companion(Refined)</t>
  </si>
  <si>
    <t>選べる宝箱 - 仲間 (上質)</t>
  </si>
  <si>
    <t>선택 상자- 동료 (고급)</t>
  </si>
  <si>
    <t>自選寶箱 - 旅伴(優秀)</t>
  </si>
  <si>
    <t>Choice Chest - Companion(Rare)</t>
  </si>
  <si>
    <t>選べる宝箱 - 仲間 (優秀)</t>
  </si>
  <si>
    <t>선택 상자- 동료 (희귀)</t>
  </si>
  <si>
    <t>自選寶箱 - 旅伴(傑出)</t>
  </si>
  <si>
    <t>Choice Chest - Companion(Elite)</t>
  </si>
  <si>
    <t>選べる宝箱 - 仲間 (卓越)</t>
  </si>
  <si>
    <t>선택 상자- 동료 (전설)</t>
  </si>
  <si>
    <t>自選寶箱 - 旅伴(史詩)</t>
  </si>
  <si>
    <t>Choice Chest - Companion(Epic)</t>
  </si>
  <si>
    <t>選べる宝箱 - 仲間 (英雄)</t>
  </si>
  <si>
    <t>선택 상자- 동료 (에픽)</t>
  </si>
  <si>
    <t>自選寶箱 - 旅伴(傳奇)</t>
  </si>
  <si>
    <t>Choice Chest - Companion(Legendary)</t>
  </si>
  <si>
    <t>選べる宝箱 - 仲間 (伝説)</t>
  </si>
  <si>
    <t>自選寶箱 - 光鑄材料</t>
  </si>
  <si>
    <t>Choice Chest - Lightcast Materials</t>
  </si>
  <si>
    <t>選べる宝箱 - 光鋳素材</t>
  </si>
  <si>
    <t>선택 상자- 빛의 연성 재료</t>
  </si>
  <si>
    <t>自選寶箱 - 高級材料</t>
  </si>
  <si>
    <t>Choice Chest - Key Materials</t>
  </si>
  <si>
    <t>選べる宝箱 - 高級素材</t>
  </si>
  <si>
    <t>선택 상자- 고급 재료</t>
  </si>
  <si>
    <t>自選寶箱 - 裝備(普通)</t>
  </si>
  <si>
    <t>Choice Chest - Gear(Common)</t>
  </si>
  <si>
    <t>選べる宝箱 - 装備 (普通)</t>
  </si>
  <si>
    <t>선택 상자- 장비 (일반)</t>
  </si>
  <si>
    <t>自選寶箱 - 裝備(精良)</t>
  </si>
  <si>
    <t>Choice Chest - Gear(Refined)</t>
  </si>
  <si>
    <t>選べる宝箱 - 装備 (上質)</t>
  </si>
  <si>
    <t>선택 상자- 장비 (고급)</t>
  </si>
  <si>
    <t>自選寶箱 - 裝備(優秀)</t>
  </si>
  <si>
    <t>Choice Chest - Gear(Rare)</t>
  </si>
  <si>
    <t>選べる宝箱 - 装備 (優秀)</t>
  </si>
  <si>
    <t>선택 상자- 장비 (희귀)</t>
  </si>
  <si>
    <t>自選寶箱 - 裝備(傑出)</t>
  </si>
  <si>
    <t>Choice Chest - Gear(Elite)</t>
  </si>
  <si>
    <t>選べる宝箱 - 装備 (卓越)</t>
  </si>
  <si>
    <t>선택 상자- 장비 (전설)</t>
  </si>
  <si>
    <t>自選寶箱 - 裝備(史詩)</t>
  </si>
  <si>
    <t>Choice Chest - Gear(Epic)</t>
  </si>
  <si>
    <t>選べる宝箱 - 装備 (英雄)</t>
  </si>
  <si>
    <t>선택 상자- 장비 (에픽)</t>
  </si>
  <si>
    <t>自選寶箱 - 裝備(傳奇)</t>
  </si>
  <si>
    <t>Choice Chest - Gear(Legendary)</t>
  </si>
  <si>
    <t>選べる宝箱 - 装備 (伝説)</t>
  </si>
  <si>
    <t>行囊圖紙</t>
  </si>
  <si>
    <t>Bag Blueprint</t>
  </si>
  <si>
    <t>バッグ設計図</t>
  </si>
  <si>
    <t>가방 도면</t>
  </si>
  <si>
    <t>完美守護徽章</t>
  </si>
  <si>
    <t>Perfect Guardian Emblem</t>
  </si>
  <si>
    <t>至高の守護紋章</t>
  </si>
  <si>
    <t>완벽 수호 배지</t>
  </si>
  <si>
    <t>呼呼結晶</t>
  </si>
  <si>
    <t>Onus Crystal</t>
  </si>
  <si>
    <t>フーフーの結晶</t>
  </si>
  <si>
    <t>오누스의 결정</t>
  </si>
  <si>
    <t>念痕寶箱鑰匙</t>
  </si>
  <si>
    <t>Imprint Chest Key</t>
  </si>
  <si>
    <t>念痕宝箱の鍵</t>
  </si>
  <si>
    <t>각인 상자 열쇠</t>
  </si>
  <si>
    <t>披風圖紙</t>
  </si>
  <si>
    <t>Cape Blueprint</t>
  </si>
  <si>
    <t>ケープ設計図</t>
  </si>
  <si>
    <t>망토 도면</t>
  </si>
  <si>
    <t>武器圖紙</t>
  </si>
  <si>
    <t>Weapon Blueprint</t>
  </si>
  <si>
    <t>武器設計図</t>
  </si>
  <si>
    <t>무기 도면</t>
  </si>
  <si>
    <t>歧路之擇掃蕩券</t>
  </si>
  <si>
    <t>Road Sweep Ticket</t>
  </si>
  <si>
    <t>彷徨の岐路のスキップ券</t>
  </si>
  <si>
    <t>갈림길 선택 소탕권</t>
  </si>
  <si>
    <t>歧路幣</t>
  </si>
  <si>
    <t>Road Coin</t>
  </si>
  <si>
    <t>岐路金貨</t>
  </si>
  <si>
    <t>갈림길 금화</t>
  </si>
  <si>
    <t>金魚</t>
  </si>
  <si>
    <t>Gold Fish</t>
  </si>
  <si>
    <t>황금 물고기</t>
  </si>
  <si>
    <t>金幣</t>
  </si>
  <si>
    <t>Coin</t>
  </si>
  <si>
    <t>金貨</t>
  </si>
  <si>
    <t>금화</t>
  </si>
  <si>
    <t>金幣秘窟入場券</t>
  </si>
  <si>
    <t>Coin Cave Ticket</t>
  </si>
  <si>
    <t>金貨の秘窟の入場券</t>
  </si>
  <si>
    <t>금화 동굴 입장권</t>
  </si>
  <si>
    <t>星輝</t>
  </si>
  <si>
    <t>Starlight</t>
  </si>
  <si>
    <t>반짝이는 별</t>
  </si>
  <si>
    <t>美味果凍</t>
  </si>
  <si>
    <t>Yummy Jelly</t>
  </si>
  <si>
    <t>美味ゼリー</t>
  </si>
  <si>
    <t>烤玉米</t>
  </si>
  <si>
    <t>Grilled Corn</t>
  </si>
  <si>
    <t>焼きトウモロコシ</t>
  </si>
  <si>
    <t>구운 옥수수</t>
  </si>
  <si>
    <t>烤棉花糖</t>
  </si>
  <si>
    <t>Marshmallow</t>
  </si>
  <si>
    <t>焼きマシュマロ</t>
  </si>
  <si>
    <t>구운 마시멜로</t>
  </si>
  <si>
    <t>烤辣椒</t>
  </si>
  <si>
    <t>Grilled Chili Pepper</t>
  </si>
  <si>
    <t>ローストペッパー</t>
  </si>
  <si>
    <t>구운 고추</t>
  </si>
  <si>
    <t>神奇的香菇</t>
  </si>
  <si>
    <t>Mythic Mushroom</t>
  </si>
  <si>
    <t>不思議なキノコ</t>
  </si>
  <si>
    <t>신비한 버섯</t>
  </si>
  <si>
    <t>神器光鑄素材</t>
  </si>
  <si>
    <t>Artifact Lightcast Material</t>
  </si>
  <si>
    <t>神器の光鋳素材</t>
  </si>
  <si>
    <t>유물 재련 재료</t>
  </si>
  <si>
    <t>高級裝備鑰匙</t>
  </si>
  <si>
    <t>Advanced Gear Chest Key</t>
  </si>
  <si>
    <t>高級の鍵</t>
  </si>
  <si>
    <t>고급 장비 열쇠</t>
  </si>
  <si>
    <t>Premium-Ausrüstungsschlüssel</t>
  </si>
  <si>
    <t>帳篷圖紙</t>
  </si>
  <si>
    <t>Tent Blueprint</t>
  </si>
  <si>
    <t>テント設計図</t>
  </si>
  <si>
    <t>텐트 도면</t>
  </si>
  <si>
    <t>木質寶箱</t>
  </si>
  <si>
    <t>Wood Chest</t>
  </si>
  <si>
    <t>木の宝箱</t>
  </si>
  <si>
    <t>목재 상자</t>
  </si>
  <si>
    <t>白銀寶箱</t>
  </si>
  <si>
    <t>Silver Chest</t>
  </si>
  <si>
    <t>銀の宝箱</t>
  </si>
  <si>
    <t>은빛 상자</t>
  </si>
  <si>
    <t>黃金寶箱</t>
  </si>
  <si>
    <t>Gold Chest</t>
  </si>
  <si>
    <t>金の宝箱</t>
  </si>
  <si>
    <t>황금 상자</t>
  </si>
  <si>
    <t>紫鑽寶箱</t>
  </si>
  <si>
    <t>Diamond Chest</t>
  </si>
  <si>
    <t>ダイヤの宝箱</t>
  </si>
  <si>
    <t>자수정 상자</t>
  </si>
  <si>
    <t>彩鑽寶箱</t>
  </si>
  <si>
    <t>Rainbow Chest</t>
  </si>
  <si>
    <t>虹の宝箱</t>
  </si>
  <si>
    <t>다이아 상자</t>
  </si>
  <si>
    <t>進化材料 - 敏感旅伴(傑出)</t>
  </si>
  <si>
    <t>Upgrade Material - Sensitive Companion(Elite)</t>
  </si>
  <si>
    <t>反応タイプ仲間の進化素材 (卓越)</t>
  </si>
  <si>
    <t>감정 반응 동료 진화 재료 (영웅)</t>
  </si>
  <si>
    <t>進化材料 - 敏感旅伴(史詩)</t>
  </si>
  <si>
    <t>Upgrade Material - Sensitive Companion(Epic)</t>
  </si>
  <si>
    <t>反応タイプ仲間の進化素材 (英雄)</t>
  </si>
  <si>
    <t>감정 반응 동료 진화 재료 (에픽)</t>
  </si>
  <si>
    <t>進化材料 - 敏感旅伴(傳奇)</t>
  </si>
  <si>
    <t>Upgrade Material - Sensitive Companion(Legendary)</t>
  </si>
  <si>
    <t>反応タイプ仲間の進化素材 (伝説)</t>
  </si>
  <si>
    <t>감정 반응 동료 진화 재료 (전설)</t>
  </si>
  <si>
    <t>進化材料 - 暖心旅伴(傑出)</t>
  </si>
  <si>
    <t>Upgrade Material - Warm Companion(Elite)</t>
  </si>
  <si>
    <t>温暖タイプ仲間の進化素材 (卓越)</t>
  </si>
  <si>
    <t>따뜻한 교감 동료 진화 재료 (영웅)</t>
  </si>
  <si>
    <t>進化材料 - 暖心旅伴(史詩)</t>
  </si>
  <si>
    <t>Upgrade Material - Warm Companion(Epic)</t>
  </si>
  <si>
    <t>温暖タイプ仲間の進化素材 (英雄)</t>
  </si>
  <si>
    <t>따뜻한 교감 동료 진화 재료 (에픽)</t>
  </si>
  <si>
    <t>進化材料 - 暖心旅伴(傳奇)</t>
  </si>
  <si>
    <t>Upgrade Material - Warm Companion(Legendary)</t>
  </si>
  <si>
    <t>温暖タイプ仲間の進化素材 (伝説)</t>
  </si>
  <si>
    <t>따뜻한 교감 동료 진화 재료 (전설)</t>
  </si>
  <si>
    <t>進化材料 - 激進旅伴(傑出)</t>
  </si>
  <si>
    <t>Upgrade Material - Progressive Companion(Elite)</t>
  </si>
  <si>
    <t>情熱タイプ仲間の進化素材 (英雄)</t>
  </si>
  <si>
    <t>감정 공격 동료 진화 재료 (에픽)</t>
  </si>
  <si>
    <t>進化材料 - 激進旅伴(史詩)</t>
  </si>
  <si>
    <t>Upgrade Material - Progressive Companion(Epic)</t>
  </si>
  <si>
    <t>情熱タイプ仲間の進化素材 (卓越)</t>
  </si>
  <si>
    <t>감정 공격 동료 진화 재료 (영웅)</t>
  </si>
  <si>
    <t>進化材料 - 激進旅伴(傳奇)</t>
  </si>
  <si>
    <t>Upgrade Material - Progressive Companion(Legendary)</t>
  </si>
  <si>
    <t>情熱タイプ仲間の進化素材 (伝説)</t>
  </si>
  <si>
    <t>감정 공격 동료 진화 재료 (전설)</t>
  </si>
  <si>
    <t>進化材料 - 靜默旅伴(傑出)</t>
  </si>
  <si>
    <t>Upgrade Material - Reflective Companion(Elite)</t>
  </si>
  <si>
    <t>思慮タイプ仲間の進化素材 (英雄)</t>
  </si>
  <si>
    <t>성찰 동료 진화 재료 (에픽)</t>
  </si>
  <si>
    <t>進化材料 - 靜默旅伴(史詩)</t>
  </si>
  <si>
    <t>Upgrade Material - Reflective Companion(Epic)</t>
  </si>
  <si>
    <t>思慮タイプ仲間の進化素材 (卓越)</t>
  </si>
  <si>
    <t>성찰 동료 진화 재료 (영웅)</t>
  </si>
  <si>
    <t>進化材料 - 靜默旅伴(傳奇)</t>
  </si>
  <si>
    <t>Upgrade Material - Reflective Companion(Legendary)</t>
  </si>
  <si>
    <t>思慮タイプ仲間の進化素材 (伝説)</t>
  </si>
  <si>
    <t>성찰 동료 진화 재료 (전설)</t>
  </si>
  <si>
    <t>情緒能量</t>
  </si>
  <si>
    <t>Mood Energy</t>
  </si>
  <si>
    <t>感情エネルギー</t>
  </si>
  <si>
    <t>감정 에너지</t>
  </si>
  <si>
    <t>情緒能量(大)</t>
  </si>
  <si>
    <t>Mood Energy (L)</t>
  </si>
  <si>
    <t>感情エネルギー (大)</t>
  </si>
  <si>
    <t>감정 에너지(대)</t>
  </si>
  <si>
    <t>情緒能量(小)</t>
  </si>
  <si>
    <t>Mood Energy (S)</t>
  </si>
  <si>
    <t>感情エネルギー (小)</t>
  </si>
  <si>
    <t>감정 에너지(중)</t>
  </si>
  <si>
    <t>情緒能量(中)</t>
  </si>
  <si>
    <t>Mood Energy (M)</t>
  </si>
  <si>
    <t>感情エネルギー (中)</t>
  </si>
  <si>
    <t>감정 에너지(소)</t>
  </si>
  <si>
    <t>情緒能量(特大)</t>
  </si>
  <si>
    <t>Mood Energy (XL)</t>
  </si>
  <si>
    <t>感情エネルギー (特大)</t>
  </si>
  <si>
    <t>감정 에너지(특대)</t>
  </si>
  <si>
    <t>傑出手套通用材料</t>
  </si>
  <si>
    <t>General Gloves Crafting Material (Elite)</t>
  </si>
  <si>
    <t>卓越グローブ汎用材料</t>
  </si>
  <si>
    <t>영웅 장갑 공용 재료</t>
  </si>
  <si>
    <t>傑出行囊通用材料</t>
  </si>
  <si>
    <t>General Satchel Crafting Material (Elite)</t>
  </si>
  <si>
    <t>卓越バッグ汎用材料</t>
  </si>
  <si>
    <t>영웅 가방 공용 재료</t>
  </si>
  <si>
    <t>傑出披風通用材料</t>
  </si>
  <si>
    <t>General Cloak Crafting Material (Elite)</t>
  </si>
  <si>
    <t>卓越ケープ汎用材料</t>
  </si>
  <si>
    <t>영웅 망토 공용 재료</t>
  </si>
  <si>
    <t>傑出武器通用材料</t>
  </si>
  <si>
    <t>General Weapon Crafting Material (Elite)</t>
  </si>
  <si>
    <t>卓越武器汎用材料</t>
  </si>
  <si>
    <t>영웅 무기 공용 재료</t>
  </si>
  <si>
    <t>傑出帳篷通用材料</t>
  </si>
  <si>
    <t>General Tent Crafting Material (Elite)</t>
  </si>
  <si>
    <t>卓越テント汎用材料</t>
  </si>
  <si>
    <t>영웅 천막 공용 재료</t>
  </si>
  <si>
    <t>傑出燈具通用材料</t>
  </si>
  <si>
    <t>General Lantern Crafting Material (Elite)</t>
  </si>
  <si>
    <t>卓越ランプ汎用材料</t>
  </si>
  <si>
    <t>영웅 조명 공용 재료</t>
  </si>
  <si>
    <t>復活露水</t>
  </si>
  <si>
    <t>Revival Dew</t>
  </si>
  <si>
    <t>回生の一滴</t>
  </si>
  <si>
    <t>부활의 이슬</t>
  </si>
  <si>
    <t>普通裝備鑰匙</t>
  </si>
  <si>
    <t>Common Gear Chest Key</t>
  </si>
  <si>
    <t>普通装備の鍵</t>
  </si>
  <si>
    <t>일반 장비 열쇠</t>
  </si>
  <si>
    <t>集集貝殼</t>
  </si>
  <si>
    <t>Shell of Collection</t>
  </si>
  <si>
    <t>拾憶の貝</t>
  </si>
  <si>
    <t>수집 조개</t>
  </si>
  <si>
    <t>傳奇手套通用材料</t>
  </si>
  <si>
    <t>General Gloves Crafting Material (Legendary)</t>
  </si>
  <si>
    <t>伝説グローブ汎用材料</t>
  </si>
  <si>
    <t>전설 장갑 공용 재료</t>
  </si>
  <si>
    <t>傳奇行囊通用材料</t>
  </si>
  <si>
    <t>General Satchel Crafting Material (Legendary)</t>
  </si>
  <si>
    <t>伝説バッグ汎用材料</t>
  </si>
  <si>
    <t>전설 가방 공용 재료</t>
  </si>
  <si>
    <t>傳奇披風通用材料</t>
  </si>
  <si>
    <t>General Cloak Crafting Material (Legendary)</t>
  </si>
  <si>
    <t>伝説ケープ汎用材料</t>
  </si>
  <si>
    <t>전설 망토 공용 재료</t>
  </si>
  <si>
    <t>傳奇武器通用材料</t>
  </si>
  <si>
    <t>General Weapon Crafting Material (Legendary)</t>
  </si>
  <si>
    <t>伝説武器汎用材料</t>
  </si>
  <si>
    <t>전설 무기 공용 재료</t>
  </si>
  <si>
    <t>傳奇帳篷通用材料</t>
  </si>
  <si>
    <t>General Tent Crafting Material (Legendary)</t>
  </si>
  <si>
    <t>伝説テント汎用材料</t>
  </si>
  <si>
    <t>전설 텐트 공용 재료</t>
  </si>
  <si>
    <t>傳奇燈具通用材料</t>
  </si>
  <si>
    <t>General Lantern Crafting Material (Legendary)</t>
  </si>
  <si>
    <t>伝説ランプ汎用材料</t>
  </si>
  <si>
    <t>전설 조명 공용 재료</t>
  </si>
  <si>
    <t>歲月回響</t>
  </si>
  <si>
    <t>Bottled Memory</t>
  </si>
  <si>
    <t>歳月のこだま</t>
  </si>
  <si>
    <t>세월의 메아리</t>
  </si>
  <si>
    <t>蜂蜜優格</t>
  </si>
  <si>
    <t>Honey Yogurt</t>
  </si>
  <si>
    <t>蜂蜜ヨーグルト</t>
  </si>
  <si>
    <t>허니 요거트</t>
  </si>
  <si>
    <t>裝備寶箱</t>
  </si>
  <si>
    <t>Gear Chest</t>
  </si>
  <si>
    <t>装備箱</t>
  </si>
  <si>
    <t>장비 상자</t>
  </si>
  <si>
    <t>滾滾結晶</t>
  </si>
  <si>
    <t>Forma Crystal</t>
  </si>
  <si>
    <t>ゴロゴロの結晶</t>
  </si>
  <si>
    <t>포르마의 결정</t>
  </si>
  <si>
    <t>綜合水果</t>
  </si>
  <si>
    <t>Mixed Fruit</t>
  </si>
  <si>
    <t>ミックスフルーツ</t>
  </si>
  <si>
    <t>모둠 과일</t>
  </si>
  <si>
    <t>辣烤魚串</t>
  </si>
  <si>
    <t>Spicy Grilled Fish</t>
  </si>
  <si>
    <t>スパイシー焼き魚</t>
  </si>
  <si>
    <t>매운 생선 꼬치</t>
  </si>
  <si>
    <t>辣捲餅</t>
  </si>
  <si>
    <t>Spicy Wrap</t>
  </si>
  <si>
    <t>辛口ラップ巻き</t>
  </si>
  <si>
    <t>매운 또띠아 롤</t>
  </si>
  <si>
    <t>熱可可</t>
  </si>
  <si>
    <t>Hot Cocoa</t>
  </si>
  <si>
    <t>ホットココア</t>
  </si>
  <si>
    <t>핫초코</t>
  </si>
  <si>
    <t>熱紅茶</t>
  </si>
  <si>
    <t>Black Tea</t>
  </si>
  <si>
    <t>ホット紅茶</t>
  </si>
  <si>
    <t>따뜻한 홍차</t>
  </si>
  <si>
    <t>冥想寶箱(精良)</t>
  </si>
  <si>
    <t>Meditation Chest(Refined)</t>
  </si>
  <si>
    <t>瞑想宝箱 (良好)</t>
  </si>
  <si>
    <t>전리품 상자 (고급)</t>
  </si>
  <si>
    <t>冥想寶箱(優秀)</t>
  </si>
  <si>
    <t>Meditation Chest(Rare)</t>
  </si>
  <si>
    <t>瞑想宝箱 (優秀)</t>
  </si>
  <si>
    <t>전리품 상자 (희귀)</t>
  </si>
  <si>
    <t>冥想寶箱(傑出)</t>
  </si>
  <si>
    <t>Meditation Chest(Elite)</t>
  </si>
  <si>
    <t>瞑想宝箱 (卓越)</t>
  </si>
  <si>
    <t>전리품 상자 (영웅)</t>
  </si>
  <si>
    <t>冥想寶箱(史詩)</t>
  </si>
  <si>
    <t>Meditation Chest(Epic)</t>
  </si>
  <si>
    <t>瞑想宝箱 (英雄)</t>
  </si>
  <si>
    <t>전리품 상자 (에픽)</t>
  </si>
  <si>
    <t>燈具圖紙</t>
  </si>
  <si>
    <t>Light Blueprint</t>
  </si>
  <si>
    <t>ランプの設計図</t>
  </si>
  <si>
    <t>조명 도면</t>
  </si>
  <si>
    <t>隨心換域勳章</t>
  </si>
  <si>
    <t>Drifting Realm Medal</t>
  </si>
  <si>
    <t>漂泊の領域の勲章</t>
  </si>
  <si>
    <t>자유 전환 훈장</t>
  </si>
  <si>
    <t>隨機光球結晶</t>
  </si>
  <si>
    <t>Random Lightling Crystal</t>
  </si>
  <si>
    <t>ランダムヒカリル結晶</t>
  </si>
  <si>
    <t>랜덤 빛의 정령 결정</t>
  </si>
  <si>
    <t>隨機寶箱 - 回憶片段 第1期(精良)</t>
  </si>
  <si>
    <t>Random Chest - Memory Fragment 1st Edition(Refined)</t>
  </si>
  <si>
    <t>ランダム宝箱 - 回想の断片 第1弾 (上質)</t>
  </si>
  <si>
    <t>랜덤 상자- 기억 조각 시즌1 (고급)</t>
  </si>
  <si>
    <t>隨機寶箱 - 回憶片段 第1期(優秀)</t>
  </si>
  <si>
    <t>Random Chest - Memory Fragment 1st Edition(Rare)</t>
  </si>
  <si>
    <t>ランダム宝箱 - 回想の断片 第1弾 (優秀)</t>
  </si>
  <si>
    <t>랜덤 상자- 기억 조각 시즌1 (희귀)</t>
  </si>
  <si>
    <t>隨機寶箱 - 回憶片段 第1期(傑出)</t>
  </si>
  <si>
    <t>Random Chest - Memory Fragment 1st Edition(Elite)</t>
  </si>
  <si>
    <t>ランダム宝箱 - 回想の断片 第1弾 (卓越)</t>
  </si>
  <si>
    <t>랜덤 상자- 기억 조각 시즌1 (영웅)</t>
  </si>
  <si>
    <t>隨機寶箱 - 回憶片段 第1期(史詩)</t>
  </si>
  <si>
    <t>Random Chest - Memory Fragment 1st Edition(Epic)</t>
  </si>
  <si>
    <t>ランダム宝箱 - 回想の断片 第1弾 (英雄)</t>
  </si>
  <si>
    <t>랜덤 상자- 기억 조각 시즌1 (에픽)</t>
  </si>
  <si>
    <t>隨機寶箱 - 回憶片段 第1期(傳奇)</t>
  </si>
  <si>
    <t>Random Chest - Memory Fragment 1st Edition(Legendary)</t>
  </si>
  <si>
    <t>ランダム宝箱 - 回想の断片 第1弾 (伝説)</t>
  </si>
  <si>
    <t>랜덤 상자- 기억 조각 시즌1 (전설)</t>
  </si>
  <si>
    <t>隨機寶箱 - 收藏品 第1期(精良)</t>
  </si>
  <si>
    <t>Random Chest - Collectible 1st Edition(Refined)</t>
  </si>
  <si>
    <t>ランダム宝箱 - コレクション 第1弾 (上質)</t>
  </si>
  <si>
    <t>랜덤 상자- 수집품 시즌1 (고급)</t>
  </si>
  <si>
    <t>隨機寶箱 - 收藏品 第1期(優秀)</t>
  </si>
  <si>
    <t>Random Chest - Collectible 1st Edition(Rare)</t>
  </si>
  <si>
    <t>ランダム宝箱 - コレクション 第1弾 (優秀)</t>
  </si>
  <si>
    <t>랜덤 상자- 수집품 시즌1 (희귀)</t>
  </si>
  <si>
    <t>隨機寶箱 - 收藏品 第1期(傑出)</t>
  </si>
  <si>
    <t>Random Chest - Collectible 1st Edition(Elite)</t>
  </si>
  <si>
    <t>ランダム宝箱 - コレクション 第1弾 (卓越)</t>
  </si>
  <si>
    <t>랜덤 상자- 수집품 시즌1 (에픽)</t>
  </si>
  <si>
    <t>隨機寶箱 - 收藏品 第1期(史詩)</t>
  </si>
  <si>
    <t>Random Chest - Collectible 1st Edition(Epic)</t>
  </si>
  <si>
    <t>ランダム宝箱 - コレクション 第1弾 (英雄)</t>
  </si>
  <si>
    <t>랜덤 상자- 수집품 시즌1 (영웅)</t>
  </si>
  <si>
    <t>隨機寶箱 - 收藏品 第1期(傳奇)</t>
  </si>
  <si>
    <t>Random Chest - Collectible 1st Edition(Legendary)</t>
  </si>
  <si>
    <t>ランダム宝箱 - コレクション 第1弾 (伝説)</t>
  </si>
  <si>
    <t>랜덤 상자- 수집품 시즌1 (전설)</t>
  </si>
  <si>
    <t>自選寶箱 - S裝收藏品(傑出)</t>
  </si>
  <si>
    <t>Choice Chest - S-Gear Collectible(Elite)</t>
  </si>
  <si>
    <t>選べる宝箱 - S級装備コレクション (卓越)</t>
  </si>
  <si>
    <t>선택 상자- S급 수집품 (영웅)</t>
  </si>
  <si>
    <t>隨機寶箱 - S裝收藏品(傑出)</t>
  </si>
  <si>
    <t>Random Chest - S-Gear Collectible(Elite)</t>
  </si>
  <si>
    <t>ランダム宝箱 - S級装備コレクション (卓越)</t>
  </si>
  <si>
    <t>랜덤 상자- S급 수집품 (영웅)</t>
  </si>
  <si>
    <t>隨機寶箱 - 念痕(普通)</t>
  </si>
  <si>
    <t>Random Chest - Imprint(Common)</t>
  </si>
  <si>
    <t>ランダム宝箱 - 念痕 (普通)</t>
  </si>
  <si>
    <t>랜덤 상자- 각인 (일반)</t>
  </si>
  <si>
    <t>隨機寶箱 - 念痕(精良)</t>
  </si>
  <si>
    <t>Random Chest - Imprint(Refined)</t>
  </si>
  <si>
    <t>ランダム宝箱 - 念痕 (上質)</t>
  </si>
  <si>
    <t>랜덤 상자- 각인 (고급)</t>
  </si>
  <si>
    <t>隨機寶箱 - 念痕(優秀)</t>
  </si>
  <si>
    <t>Random Chest - Imprint(Rare)</t>
  </si>
  <si>
    <t>ランダム宝箱 - 念痕 (優秀)</t>
  </si>
  <si>
    <t>랜덤 상자- 각인 (희귀)</t>
  </si>
  <si>
    <t>隨機寶箱 - 念痕(傑出)</t>
  </si>
  <si>
    <t>Random Chest - Imprint(Elite)</t>
  </si>
  <si>
    <t>ランダム宝箱 - 念痕 (卓越)</t>
  </si>
  <si>
    <t>랜덤 상자- 각인 (영웅)</t>
  </si>
  <si>
    <t>隨機寶箱 - 念痕(史詩)</t>
  </si>
  <si>
    <t>Random Chest - Imprint(Epic)</t>
  </si>
  <si>
    <t>ランダム宝箱 - 念痕 (英雄)</t>
  </si>
  <si>
    <t>랜덤 상자- 각인 (에픽)</t>
  </si>
  <si>
    <t>隨機寶箱 - 念痕(傳奇)</t>
  </si>
  <si>
    <t>Random Chest - Imprint(Legendary)</t>
  </si>
  <si>
    <t>ランダム宝箱 - 念痕 (伝説)</t>
  </si>
  <si>
    <t>랜덤 상자- 각인 (전설)</t>
  </si>
  <si>
    <t>驚喜寶箱 - 念痕(傑出)</t>
  </si>
  <si>
    <t>Surprise Chest - Imprint(Elite)</t>
  </si>
  <si>
    <t>サプライズ宝箱 - 念痕 (卓越)</t>
  </si>
  <si>
    <t>깜짝 상자- 각인 (영웅)</t>
  </si>
  <si>
    <t>驚喜寶箱 - 念痕(史詩)</t>
  </si>
  <si>
    <t>Surprise Chest - Imprint(Epic)</t>
  </si>
  <si>
    <t>サプライズ宝箱 - 念痕 (英雄)</t>
  </si>
  <si>
    <t>깜짝 상자- 각인 (에픽)</t>
  </si>
  <si>
    <t>隨機寶箱 - 旅伴伙食(優秀)</t>
  </si>
  <si>
    <t>Random Chest - Companion Food(Rare)</t>
  </si>
  <si>
    <t>ランダム宝箱 - 仲間フード (優秀)</t>
  </si>
  <si>
    <t>랜덤 상자- 동료 간식 (희귀)</t>
  </si>
  <si>
    <t>隨機寶箱 - 旅伴伙食(傑出)</t>
  </si>
  <si>
    <t>Random Chest - Companion Food(Elite)</t>
  </si>
  <si>
    <t>ランダム宝箱 - 仲間フード (卓越)</t>
  </si>
  <si>
    <t>랜덤 상자- 동료 간식 (영웅)</t>
  </si>
  <si>
    <t>隨機寶箱 - 旅伴伙食(史詩)</t>
  </si>
  <si>
    <t>Random Chest - Companion Food(Epic)</t>
  </si>
  <si>
    <t>ランダム宝箱 - 仲間フード (英雄)</t>
  </si>
  <si>
    <t>랜덤 상자- 동료 간식 (에픽)</t>
  </si>
  <si>
    <t>隨機寶箱 - 旅伴伙食(傳奇)</t>
  </si>
  <si>
    <t>Random Chest - Companion Food(Legendary)</t>
  </si>
  <si>
    <t>ランダム宝箱 - 仲間フード (伝説)</t>
  </si>
  <si>
    <t>랜덤 상자- 동료 간식 (전설)</t>
  </si>
  <si>
    <t>隨機寶箱 - 旅伴(普通)</t>
  </si>
  <si>
    <t>Random Chest - Companion(Common)</t>
  </si>
  <si>
    <t>ランダム宝箱 - 仲間 (普通)</t>
  </si>
  <si>
    <t>랜덤 상자- 동료 (일반)</t>
  </si>
  <si>
    <t>隨機寶箱 - 旅伴(精良)</t>
  </si>
  <si>
    <t>Random Chest - Companion(Refined)</t>
  </si>
  <si>
    <t>ランダム宝箱 - 仲間 (上質)</t>
  </si>
  <si>
    <t>랜덤 상자- 동료 (고급)</t>
  </si>
  <si>
    <t>隨機寶箱 - 旅伴(優秀)</t>
  </si>
  <si>
    <t>Random Chest - Companion(Rare)</t>
  </si>
  <si>
    <t>ランダム宝箱 - 仲間 (優秀)</t>
  </si>
  <si>
    <t>랜덤 상자- 동료 (희귀)</t>
  </si>
  <si>
    <t>隨機寶箱 - 旅伴(傑出)</t>
  </si>
  <si>
    <t>Random Chest - Companion(Elite)</t>
  </si>
  <si>
    <t>ランダム宝箱 - 仲間 (卓越)</t>
  </si>
  <si>
    <t>랜덤 상자- 동료 (전설)</t>
  </si>
  <si>
    <t>隨機寶箱 - 旅伴(史詩)</t>
  </si>
  <si>
    <t>Random Chest - Companion(Epic)</t>
  </si>
  <si>
    <t>ランダム宝箱 - 仲間 (英雄)</t>
  </si>
  <si>
    <t>랜덤 상자- 동료 (에픽)</t>
  </si>
  <si>
    <t>隨機寶箱 - 旅伴(傳奇)</t>
  </si>
  <si>
    <t>Random Chest - Companion(Legendary)</t>
  </si>
  <si>
    <t>ランダム宝箱 - 仲間 (伝説)</t>
  </si>
  <si>
    <t>驚喜寶箱 - 旅伴(傑出)</t>
  </si>
  <si>
    <t>Surprise Chest - Companion(Elite)</t>
  </si>
  <si>
    <t>サプライズ宝箱 - 仲間 (卓越)</t>
  </si>
  <si>
    <t>깜짝 상자- 동료 (영웅)</t>
  </si>
  <si>
    <t>驚喜寶箱 - 旅伴(史詩)</t>
  </si>
  <si>
    <t>Surprise Chest - Companion(Epic)</t>
  </si>
  <si>
    <t>サプライズ宝箱 - 仲間 (英雄)</t>
  </si>
  <si>
    <t>깜짝 상자- 동료 (에픽)</t>
  </si>
  <si>
    <t>隨機寶箱 - 裝備(普通)</t>
  </si>
  <si>
    <t>Random Chest - Gear(Common)</t>
  </si>
  <si>
    <t>ランダム宝箱 - 装備 (普通)</t>
  </si>
  <si>
    <t>랜덤 상자- 장비 (일반)</t>
  </si>
  <si>
    <t>隨機寶箱 - 裝備(精良)</t>
  </si>
  <si>
    <t>Random Chest - Gear(Refined)</t>
  </si>
  <si>
    <t>ランダム宝箱 - 装備 (上質)</t>
  </si>
  <si>
    <t>랜덤 상자- 장비 (고급)</t>
  </si>
  <si>
    <t>隨機寶箱 - 裝備(優秀)</t>
  </si>
  <si>
    <t>Random Chest - Gear(Rare)</t>
  </si>
  <si>
    <t>ランダム宝箱 - 装備 (優秀)</t>
  </si>
  <si>
    <t>랜덤 상자- 장비 (희귀)</t>
  </si>
  <si>
    <t>隨機寶箱 - 裝備(傑出)</t>
  </si>
  <si>
    <t>Random Chest - Gear(Elite)</t>
  </si>
  <si>
    <t>ランダム宝箱 - 装備 (卓越)</t>
  </si>
  <si>
    <t>랜덤 상자- 장비 (전설)</t>
  </si>
  <si>
    <t>隨機寶箱 - 裝備(史詩)</t>
  </si>
  <si>
    <t>Random Chest - Gear(Epic)</t>
  </si>
  <si>
    <t>ランダム宝箱 - 装備 (英雄)</t>
  </si>
  <si>
    <t>랜덤 상자- 장비 (에픽)</t>
  </si>
  <si>
    <t>隨機寶箱 - 裝備(傳奇)</t>
  </si>
  <si>
    <t>Random Chest - Gear(Legendary)</t>
  </si>
  <si>
    <t>ランダム宝箱 - 装備 (伝説)</t>
  </si>
  <si>
    <t>驚喜寶箱 - 裝備(傑出)</t>
  </si>
  <si>
    <t>Surprise Chest - Gear(Elite)</t>
  </si>
  <si>
    <t>サプライズ宝箱 - 装備 (卓越)</t>
  </si>
  <si>
    <t>깜짝 상자- 장비 (영웅)</t>
  </si>
  <si>
    <t>驚喜寶箱 - 裝備(史詩)</t>
  </si>
  <si>
    <t>Surprise Chest - Gear(Epic)</t>
  </si>
  <si>
    <t>サプライズ宝箱 - 装備 (英雄)</t>
  </si>
  <si>
    <t>깜짝 상자- 장비 (에픽)</t>
  </si>
  <si>
    <t>自選寶箱 - S級裝備(傑出)</t>
  </si>
  <si>
    <t>Choice Chest - S-grade Gear(Elite)</t>
  </si>
  <si>
    <t>セレクト宝箱 - S級装備 (卓越)</t>
  </si>
  <si>
    <t>선택 상자- S급 장비 (영웅)</t>
  </si>
  <si>
    <t>自選寶箱 - S級裝備(史詩)</t>
  </si>
  <si>
    <t>Choice Chest - S-grade Gear(Epic)</t>
  </si>
  <si>
    <t>セレクト宝箱 - S級装備 (英雄)</t>
  </si>
  <si>
    <t>선택 상자-  S급 장비 (에픽)</t>
  </si>
  <si>
    <t>隨機寶箱 - S級裝備(傑出)</t>
  </si>
  <si>
    <t>Random Chest - S-grade Gear(Elite)</t>
  </si>
  <si>
    <t>ランダム宝箱 - S級装備 (卓越)</t>
  </si>
  <si>
    <t>랜덤 상자-  S급 장비 (영웅)</t>
  </si>
  <si>
    <t>自選寶箱 - 夢想家 裝備(傑出)</t>
  </si>
  <si>
    <t>Choice Chest - Dreamer's Gear(Elite)</t>
  </si>
  <si>
    <t>セレクト宝箱 - 夢想家装備 (卓越)</t>
  </si>
  <si>
    <t>선택 상자- 몽상가 장비 (영웅)</t>
  </si>
  <si>
    <t>自選寶箱 - 征服者 裝備(傑出)</t>
  </si>
  <si>
    <t>Choice Chest - Conqueror's Gear(Elite)</t>
  </si>
  <si>
    <t>セレクト宝箱 - 征服者装備 (卓越)</t>
  </si>
  <si>
    <t>선택 상자- 정복자 장비 (영웅)</t>
  </si>
  <si>
    <t>隨機圖紙</t>
  </si>
  <si>
    <t>Random Blueprint</t>
  </si>
  <si>
    <t>ランダム設計図</t>
  </si>
  <si>
    <t>랜덤 도면</t>
  </si>
  <si>
    <t>檸檬汁</t>
  </si>
  <si>
    <t>Lemon Juice</t>
  </si>
  <si>
    <t>レモンジュース</t>
  </si>
  <si>
    <t>레몬 주스</t>
  </si>
  <si>
    <t>爆爆槌</t>
  </si>
  <si>
    <t>Explosive Hammer</t>
  </si>
  <si>
    <t>爆発ハンマー</t>
  </si>
  <si>
    <t>망치</t>
  </si>
  <si>
    <t>繫絆鈴鐺</t>
  </si>
  <si>
    <t>Bond Bell</t>
  </si>
  <si>
    <t>絆の鈴</t>
  </si>
  <si>
    <t>유대의 방울</t>
  </si>
  <si>
    <t>覺醒恆星</t>
  </si>
  <si>
    <t>Awakening Star</t>
  </si>
  <si>
    <t>覚醒の恒星</t>
  </si>
  <si>
    <t>각성 행성</t>
  </si>
  <si>
    <t>靈晶</t>
  </si>
  <si>
    <t>Soul Stone</t>
  </si>
  <si>
    <t>霊晶</t>
  </si>
  <si>
    <t>영혼석</t>
  </si>
  <si>
    <t>S級裝備寶箱</t>
  </si>
  <si>
    <t>S-grade Gear Chest</t>
  </si>
  <si>
    <t>S級装備箱</t>
  </si>
  <si>
    <t>S급 장비 상자</t>
  </si>
  <si>
    <t>S級裝備鑰匙</t>
  </si>
  <si>
    <t>S-grade Gear Key</t>
  </si>
  <si>
    <t>S級装備の鍵</t>
  </si>
  <si>
    <t>S급 장비 열쇠</t>
  </si>
  <si>
    <t>免廣告券</t>
  </si>
  <si>
    <t>Skip-Ads Coupon</t>
  </si>
  <si>
    <t>広告スキップ券</t>
  </si>
  <si>
    <t>광고 스킵권</t>
  </si>
  <si>
    <t>Werbefrei-Ticket</t>
  </si>
  <si>
    <t>Ticket sans publicité</t>
  </si>
  <si>
    <t>驚喜寶箱 - 靈晶(優秀)</t>
  </si>
  <si>
    <t>Surprise Chest - Soul Stone(Refined)</t>
  </si>
  <si>
    <t>サプライズ宝箱 - 霊晶 (優秀)</t>
  </si>
  <si>
    <t>깜짝 상자- 영혼석 (고급)</t>
  </si>
  <si>
    <t>驚喜寶箱 - 靈晶(傑出)</t>
  </si>
  <si>
    <t>Surprise Chest - Soul Stone(Rare)</t>
  </si>
  <si>
    <t>サプライズ宝箱 - 霊晶 (卓越)</t>
  </si>
  <si>
    <t>깜짝 상자- 영혼석 (희귀)</t>
  </si>
  <si>
    <t>驚喜寶箱 - 靈晶(史詩)</t>
  </si>
  <si>
    <t>Surprise Chest - Soul Stone(Elite)</t>
  </si>
  <si>
    <t>サプライズ宝箱 - 霊晶 (英雄)</t>
  </si>
  <si>
    <t>깜짝 상자- 영혼석 (영웅)</t>
  </si>
  <si>
    <t>幸運拉霸</t>
  </si>
  <si>
    <t>Lucky Chance</t>
  </si>
  <si>
    <t>情緒之網</t>
  </si>
  <si>
    <t>Mood Catcher</t>
  </si>
  <si>
    <t>忌妒綠幽靈</t>
  </si>
  <si>
    <t>Green Envy</t>
  </si>
  <si>
    <t>嫉妬の緑霊</t>
  </si>
  <si>
    <t>질투의 유령</t>
  </si>
  <si>
    <t>忌妒绿幽灵</t>
  </si>
  <si>
    <t>人魚之淚</t>
  </si>
  <si>
    <t>Mermaid's Tear</t>
  </si>
  <si>
    <t>人魚の涙</t>
  </si>
  <si>
    <t>인어의 눈물</t>
  </si>
  <si>
    <t>人鱼之泪</t>
  </si>
  <si>
    <t>幸運之草</t>
  </si>
  <si>
    <t>Lucky Clover</t>
  </si>
  <si>
    <t>幸運のクローバー</t>
  </si>
  <si>
    <t>행운의 클로버</t>
  </si>
  <si>
    <t>幸运之草</t>
  </si>
  <si>
    <t>恐懼蜘蛛網</t>
  </si>
  <si>
    <t>Web of Fear</t>
  </si>
  <si>
    <t>恐怖の網</t>
  </si>
  <si>
    <t>공포의 거미줄</t>
  </si>
  <si>
    <t>恐惧蜘蛛网</t>
  </si>
  <si>
    <t>憤怒之眼</t>
  </si>
  <si>
    <t>Eye of Wrath</t>
  </si>
  <si>
    <t>怒りの眼球</t>
  </si>
  <si>
    <t>분노의 눈</t>
  </si>
  <si>
    <t>愤怒之眼</t>
  </si>
  <si>
    <t>迷宮球</t>
  </si>
  <si>
    <t>Maze Orb</t>
  </si>
  <si>
    <t>迷宮のオーブ</t>
  </si>
  <si>
    <t>미궁 구슬</t>
  </si>
  <si>
    <t>迷宫球</t>
  </si>
  <si>
    <t>歡樂糖果</t>
  </si>
  <si>
    <t>Glee Gummy</t>
  </si>
  <si>
    <t>歓喜のキャンディ</t>
  </si>
  <si>
    <t>행복 젤리</t>
  </si>
  <si>
    <t>欢乐糖果</t>
  </si>
  <si>
    <t>煩躁烏雲</t>
  </si>
  <si>
    <t>Grumpy Cloud</t>
  </si>
  <si>
    <t>苛立ちの暗雲</t>
  </si>
  <si>
    <t>짜증의 먹구름</t>
  </si>
  <si>
    <t>烦躁乌云</t>
  </si>
  <si>
    <t>興奮彩虹</t>
  </si>
  <si>
    <t>Thrillbow</t>
  </si>
  <si>
    <t>興奮の虹</t>
  </si>
  <si>
    <t>흥분의 무지개</t>
  </si>
  <si>
    <t>兴奋彩虹</t>
  </si>
  <si>
    <t>啟蒙之帽</t>
  </si>
  <si>
    <t>Thinking Hat</t>
  </si>
  <si>
    <t>啓蒙の帽子</t>
  </si>
  <si>
    <t>계몽의 모자</t>
  </si>
  <si>
    <t>启蒙之帽</t>
  </si>
  <si>
    <t>歷史線索</t>
  </si>
  <si>
    <t>Historical Clue</t>
  </si>
  <si>
    <t>歴史の手がかり</t>
  </si>
  <si>
    <t>역사 단서</t>
  </si>
  <si>
    <t>历史线索</t>
  </si>
  <si>
    <t>幸福齒輪</t>
  </si>
  <si>
    <t>Blissful Gear</t>
  </si>
  <si>
    <t>幸福の歯車</t>
  </si>
  <si>
    <t>행복의 톱니바퀴</t>
  </si>
  <si>
    <t>幸福齿轮</t>
  </si>
  <si>
    <t>恨之入骨</t>
  </si>
  <si>
    <t>Deep Hatred</t>
  </si>
  <si>
    <t>怨嗟の塊</t>
  </si>
  <si>
    <t>증오의 뼈</t>
  </si>
  <si>
    <t>情感承諾</t>
  </si>
  <si>
    <t>Heart's Oath</t>
  </si>
  <si>
    <t>感情の誓い</t>
  </si>
  <si>
    <t>감정의 약속</t>
  </si>
  <si>
    <t>情感承诺</t>
  </si>
  <si>
    <t>動力羅盤</t>
  </si>
  <si>
    <t>Power Compass</t>
  </si>
  <si>
    <t>昂揚のコンパス</t>
  </si>
  <si>
    <t>동력 나침반</t>
  </si>
  <si>
    <t>动力罗盘</t>
  </si>
  <si>
    <t>其他</t>
  </si>
  <si>
    <t>灰</t>
  </si>
  <si>
    <t>普通</t>
  </si>
  <si>
    <t>Common</t>
  </si>
  <si>
    <t>일반</t>
  </si>
  <si>
    <t>綠</t>
  </si>
  <si>
    <t>精良</t>
  </si>
  <si>
    <t>Refined</t>
  </si>
  <si>
    <t>上質</t>
  </si>
  <si>
    <t>고급</t>
  </si>
  <si>
    <t>藍</t>
  </si>
  <si>
    <t>優秀</t>
  </si>
  <si>
    <t>Rare</t>
  </si>
  <si>
    <t>희귀</t>
  </si>
  <si>
    <t>优秀</t>
  </si>
  <si>
    <t>紫</t>
  </si>
  <si>
    <t>傑出</t>
  </si>
  <si>
    <t>Elite</t>
  </si>
  <si>
    <t>卓越</t>
  </si>
  <si>
    <t>영웅</t>
  </si>
  <si>
    <t>杰出</t>
  </si>
  <si>
    <t>金</t>
  </si>
  <si>
    <t>史詩</t>
  </si>
  <si>
    <t>Epic</t>
  </si>
  <si>
    <t>英雄</t>
  </si>
  <si>
    <t>에픽</t>
  </si>
  <si>
    <t>史诗</t>
  </si>
  <si>
    <t>紅</t>
  </si>
  <si>
    <t>傳奇</t>
  </si>
  <si>
    <t>Legendary</t>
  </si>
  <si>
    <t>伝説</t>
  </si>
  <si>
    <t>전설</t>
  </si>
  <si>
    <t>传奇</t>
  </si>
  <si>
    <t>天</t>
  </si>
  <si>
    <t>Day</t>
  </si>
  <si>
    <t>日</t>
  </si>
  <si>
    <t>일</t>
  </si>
  <si>
    <t>材料</t>
  </si>
  <si>
    <t>Material</t>
  </si>
  <si>
    <t>재료</t>
  </si>
  <si>
    <t>品質</t>
  </si>
  <si>
    <t>quality</t>
  </si>
  <si>
    <t>등급</t>
  </si>
  <si>
    <t>质量</t>
  </si>
  <si>
    <t xml:space="preserve">防禦
</t>
  </si>
  <si>
    <t xml:space="preserve">Defense
</t>
  </si>
  <si>
    <t>防御</t>
  </si>
  <si>
    <t>방어</t>
  </si>
  <si>
    <t xml:space="preserve">防御
</t>
  </si>
  <si>
    <t>戰力值</t>
  </si>
  <si>
    <t>Combat Power</t>
  </si>
  <si>
    <t>戦力値</t>
  </si>
  <si>
    <t>공격력</t>
  </si>
  <si>
    <t>战力值</t>
  </si>
  <si>
    <t>攻擊</t>
  </si>
  <si>
    <t>Attack</t>
  </si>
  <si>
    <t>攻撃</t>
  </si>
  <si>
    <t>공격</t>
  </si>
  <si>
    <t>攻击</t>
  </si>
  <si>
    <t>生命</t>
  </si>
  <si>
    <t>Health</t>
  </si>
  <si>
    <t>생명력</t>
  </si>
  <si>
    <t>S級</t>
  </si>
  <si>
    <t>S-grade</t>
  </si>
  <si>
    <t>S급</t>
  </si>
  <si>
    <t>S级</t>
  </si>
  <si>
    <t>敵人字典</t>
  </si>
  <si>
    <t>面具鹿角獸</t>
  </si>
  <si>
    <t>Masked Elk</t>
  </si>
  <si>
    <t>仮面の角鹿</t>
  </si>
  <si>
    <t>사슴뿔 가면</t>
  </si>
  <si>
    <t>執念束縛靈</t>
  </si>
  <si>
    <t>Binding Banshee</t>
  </si>
  <si>
    <t>執着の縛霊</t>
  </si>
  <si>
    <t>집작하는 유령</t>
  </si>
  <si>
    <t>滑稽傀儡熊</t>
  </si>
  <si>
    <t>Ludicrous Teddy</t>
  </si>
  <si>
    <t>滑稽なドールベア</t>
  </si>
  <si>
    <t>광대 곰</t>
  </si>
  <si>
    <t>冠軍鬥拳王</t>
  </si>
  <si>
    <t>覇道の拳王</t>
  </si>
  <si>
    <t>챔피언 권투왕</t>
  </si>
  <si>
    <t>時間審判官</t>
  </si>
  <si>
    <t>時の審判官</t>
  </si>
  <si>
    <t>시간 심판관</t>
  </si>
  <si>
    <t>冷眼君王</t>
  </si>
  <si>
    <t>Cold-Eyed King</t>
  </si>
  <si>
    <t>冷徹なる君主</t>
  </si>
  <si>
    <t>냉혈한 군주</t>
  </si>
  <si>
    <t>千面微笑球</t>
  </si>
  <si>
    <t>微笑む千面球</t>
  </si>
  <si>
    <t>천개의 얼굴</t>
  </si>
  <si>
    <t>體制蜂巢主</t>
  </si>
  <si>
    <t>Hive Master</t>
  </si>
  <si>
    <t>統制の女王蜂</t>
  </si>
  <si>
    <t>군단 질서의 주인</t>
  </si>
  <si>
    <t>監視狂球</t>
  </si>
  <si>
    <t>監視の狂球</t>
  </si>
  <si>
    <t>감시광 공</t>
  </si>
  <si>
    <t>偽善黑影狼</t>
  </si>
  <si>
    <t>偽善の影狼</t>
  </si>
  <si>
    <t>위선의 흑랑</t>
  </si>
  <si>
    <t>災厄之蛾</t>
  </si>
  <si>
    <t>災厄の蛾</t>
  </si>
  <si>
    <t>재앙의 나방</t>
  </si>
  <si>
    <t>虛榮滿月</t>
  </si>
  <si>
    <t>虚栄の満月</t>
  </si>
  <si>
    <t>허영의 보름달</t>
  </si>
  <si>
    <t>貪婪暴食魔</t>
  </si>
  <si>
    <t>飽くなき暴食魔</t>
  </si>
  <si>
    <t>탐식의 마왕</t>
  </si>
  <si>
    <t>爛泥吞噬者</t>
  </si>
  <si>
    <t>泥濘の貪食者</t>
  </si>
  <si>
    <t>진흙 포식자</t>
  </si>
  <si>
    <t>無盡貪婪獸</t>
  </si>
  <si>
    <t>無窮の強欲獣</t>
  </si>
  <si>
    <t>끝없는 탐욕수</t>
  </si>
  <si>
    <t>眼淚勒索者</t>
  </si>
  <si>
    <t>涙の強請者</t>
  </si>
  <si>
    <t>눈물 수집가</t>
  </si>
  <si>
    <t>空洞巨靈</t>
  </si>
  <si>
    <t>空虚の巨霊</t>
  </si>
  <si>
    <t>공허한 유령</t>
  </si>
  <si>
    <t>完美無瑕之花</t>
  </si>
  <si>
    <t>完璧なる極花</t>
  </si>
  <si>
    <t>완전무결한 꽃</t>
  </si>
  <si>
    <t>光芒貪食者</t>
  </si>
  <si>
    <t>光を奪う者</t>
  </si>
  <si>
    <t>빛의 탐식자</t>
  </si>
  <si>
    <t>重擔巨鯨</t>
  </si>
  <si>
    <t>重荷の巨鯨</t>
  </si>
  <si>
    <t>무거운 대왕 고래</t>
  </si>
  <si>
    <t>體面彎腰者</t>
  </si>
  <si>
    <t>礼節の跪者</t>
  </si>
  <si>
    <t>체면치레의 달인</t>
  </si>
  <si>
    <t>壓境之形</t>
  </si>
  <si>
    <t>圧境の異形</t>
  </si>
  <si>
    <t>압도적인 형태</t>
  </si>
  <si>
    <t>索命藤蔓</t>
  </si>
  <si>
    <t>命奪いの蔦</t>
  </si>
  <si>
    <t>생사의 덩굴</t>
  </si>
  <si>
    <t>雙面分裂</t>
  </si>
  <si>
    <t>二面の分身</t>
  </si>
  <si>
    <t>양면 분열</t>
  </si>
  <si>
    <t>知識牢籠</t>
  </si>
  <si>
    <t>叡智の檻</t>
  </si>
  <si>
    <t>지식의 감옥</t>
  </si>
  <si>
    <t>思緒爆裂王</t>
  </si>
  <si>
    <t>Mindshatter King</t>
  </si>
  <si>
    <t>思念の爆裂王</t>
  </si>
  <si>
    <t>사고폭주의 왕</t>
  </si>
  <si>
    <t>三疊心魔</t>
  </si>
  <si>
    <t>Triple Demon</t>
  </si>
  <si>
    <t>三重の心魔</t>
  </si>
  <si>
    <t>내면의 악마</t>
  </si>
  <si>
    <t>糖霜腐蝕蟹</t>
  </si>
  <si>
    <t>糖衣の腐蝕蟹</t>
  </si>
  <si>
    <t>눈설탕 부식 게</t>
  </si>
  <si>
    <t>金幣巨蝦蝦</t>
  </si>
  <si>
    <t>Giant Coin Shrimp</t>
  </si>
  <si>
    <t>金貨のエビ王</t>
  </si>
  <si>
    <t>금화 거대 새우</t>
  </si>
  <si>
    <t>頭像</t>
  </si>
  <si>
    <t>初芽光光頭像</t>
  </si>
  <si>
    <t>Lumo Sprout Avatar</t>
  </si>
  <si>
    <t>若葉ピカピカアイコン</t>
  </si>
  <si>
    <t>루모 새싹 프로필</t>
  </si>
  <si>
    <t>相框</t>
  </si>
  <si>
    <t>初芽光光相框</t>
  </si>
  <si>
    <t>Lumo Sprout Frame</t>
  </si>
  <si>
    <t>若葉ピカピカ若葉フレーム</t>
  </si>
  <si>
    <t>루모 새싹 테두리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</si>
</sst>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rgb="FFFFFFFF"/>
      <name val="Arial"/>
    </font>
    <font>
      <b/>
      <color rgb="FFF3F3F3"/>
      <name val="Arial"/>
    </font>
    <font>
      <u/>
      <color rgb="FF0000FF"/>
    </font>
    <font>
      <color rgb="FFF3F3F3"/>
      <name val="Arial"/>
      <scheme val="minor"/>
    </font>
    <font>
      <color rgb="FFFF0000"/>
      <name val="Arial"/>
      <scheme val="minor"/>
    </font>
    <font>
      <u/>
      <color rgb="FF0000FF"/>
    </font>
    <font>
      <b/>
      <sz val="14.0"/>
      <color rgb="FFFFFFFF"/>
      <name val="Arial"/>
    </font>
    <font>
      <b/>
      <color theme="1"/>
      <name val="Arial"/>
    </font>
    <font>
      <b/>
      <sz val="25.0"/>
      <color rgb="FFFF0000"/>
      <name val="Arial"/>
    </font>
    <font>
      <color rgb="FF0000FF"/>
      <name val="Arial"/>
      <scheme val="minor"/>
    </font>
    <font>
      <sz val="14.0"/>
      <color rgb="FFFFFFFF"/>
      <name val="Arial"/>
      <scheme val="minor"/>
    </font>
    <font>
      <b/>
      <color rgb="FFFFFF00"/>
      <name val="Arial"/>
    </font>
    <font>
      <color rgb="FF000000"/>
      <name val="Arial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vertical="top"/>
    </xf>
    <xf borderId="0" fillId="3" fontId="2" numFmtId="0" xfId="0" applyAlignment="1" applyFill="1" applyFont="1">
      <alignment vertical="top"/>
    </xf>
    <xf borderId="0" fillId="3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4" fontId="4" numFmtId="0" xfId="0" applyAlignment="1" applyFill="1" applyFont="1">
      <alignment readingOrder="0" vertical="top"/>
    </xf>
    <xf borderId="0" fillId="0" fontId="5" numFmtId="0" xfId="0" applyAlignment="1" applyFont="1">
      <alignment readingOrder="0"/>
    </xf>
    <xf borderId="0" fillId="4" fontId="6" numFmtId="0" xfId="0" applyAlignment="1" applyFont="1">
      <alignment readingOrder="0" vertical="top"/>
    </xf>
    <xf borderId="0" fillId="4" fontId="2" numFmtId="0" xfId="0" applyAlignment="1" applyFont="1">
      <alignment vertical="top"/>
    </xf>
    <xf borderId="0" fillId="5" fontId="2" numFmtId="0" xfId="0" applyAlignment="1" applyFill="1" applyFont="1">
      <alignment vertical="top"/>
    </xf>
    <xf borderId="0" fillId="5" fontId="2" numFmtId="0" xfId="0" applyAlignment="1" applyFont="1">
      <alignment readingOrder="0" vertical="top"/>
    </xf>
    <xf borderId="0" fillId="6" fontId="7" numFmtId="0" xfId="0" applyAlignment="1" applyFill="1" applyFont="1">
      <alignment readingOrder="0" vertical="top"/>
    </xf>
    <xf borderId="0" fillId="6" fontId="6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 vertical="top"/>
    </xf>
    <xf borderId="0" fillId="0" fontId="11" numFmtId="0" xfId="0" applyAlignment="1" applyFont="1">
      <alignment readingOrder="0" shrinkToFit="0" vertical="top" wrapText="0"/>
    </xf>
    <xf borderId="0" fillId="0" fontId="10" numFmtId="0" xfId="0" applyAlignment="1" applyFont="1">
      <alignment vertical="top"/>
    </xf>
    <xf borderId="0" fillId="3" fontId="3" numFmtId="0" xfId="0" applyAlignment="1" applyFont="1">
      <alignment readingOrder="0" vertical="top"/>
    </xf>
    <xf borderId="0" fillId="3" fontId="3" numFmtId="0" xfId="0" applyAlignment="1" applyFont="1">
      <alignment vertical="top"/>
    </xf>
    <xf borderId="0" fillId="2" fontId="12" numFmtId="0" xfId="0" applyAlignment="1" applyFont="1">
      <alignment readingOrder="0" vertical="bottom"/>
    </xf>
    <xf borderId="0" fillId="2" fontId="13" numFmtId="0" xfId="0" applyAlignment="1" applyFont="1">
      <alignment vertical="bottom"/>
    </xf>
    <xf borderId="0" fillId="2" fontId="14" numFmtId="0" xfId="0" applyAlignment="1" applyFont="1">
      <alignment readingOrder="0" shrinkToFit="0" vertical="top" wrapText="1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Font="1"/>
    <xf borderId="0" fillId="2" fontId="12" numFmtId="0" xfId="0" applyAlignment="1" applyFont="1">
      <alignment readingOrder="0" vertical="top"/>
    </xf>
    <xf borderId="0" fillId="2" fontId="2" numFmtId="0" xfId="0" applyAlignment="1" applyFont="1">
      <alignment vertical="top"/>
    </xf>
    <xf borderId="0" fillId="0" fontId="15" numFmtId="0" xfId="0" applyAlignment="1" applyFont="1">
      <alignment readingOrder="0" vertical="top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2" fontId="13" numFmtId="0" xfId="0" applyAlignment="1" applyFont="1">
      <alignment horizontal="left" vertical="top"/>
    </xf>
    <xf borderId="0" fillId="2" fontId="13" numFmtId="0" xfId="0" applyAlignment="1" applyFont="1">
      <alignment vertical="top"/>
    </xf>
    <xf borderId="0" fillId="0" fontId="5" numFmtId="0" xfId="0" applyAlignment="1" applyFont="1">
      <alignment vertical="top"/>
    </xf>
    <xf borderId="0" fillId="5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center"/>
    </xf>
    <xf borderId="0" fillId="2" fontId="16" numFmtId="0" xfId="0" applyAlignment="1" applyFont="1">
      <alignment vertical="top"/>
    </xf>
    <xf borderId="0" fillId="5" fontId="3" numFmtId="0" xfId="0" applyAlignment="1" applyFont="1">
      <alignment vertical="top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2" fontId="12" numFmtId="0" xfId="0" applyAlignment="1" applyFont="1">
      <alignment horizontal="left" readingOrder="0" vertical="top"/>
    </xf>
    <xf borderId="0" fillId="2" fontId="17" numFmtId="0" xfId="0" applyAlignment="1" applyFont="1">
      <alignment readingOrder="0" vertical="bottom"/>
    </xf>
    <xf borderId="0" fillId="0" fontId="18" numFmtId="0" xfId="0" applyAlignment="1" applyFont="1">
      <alignment vertical="top"/>
    </xf>
    <xf borderId="0" fillId="0" fontId="18" numFmtId="0" xfId="0" applyAlignment="1" applyFont="1">
      <alignment readingOrder="0" vertical="top"/>
    </xf>
    <xf borderId="0" fillId="2" fontId="1" numFmtId="0" xfId="0" applyAlignment="1" applyFont="1">
      <alignment horizontal="left" shrinkToFit="0" vertical="top" wrapText="1"/>
    </xf>
    <xf borderId="0" fillId="2" fontId="1" numFmtId="0" xfId="0" applyAlignment="1" applyFont="1">
      <alignment shrinkToFit="0" vertical="top" wrapText="1"/>
    </xf>
    <xf borderId="0" fillId="5" fontId="3" numFmtId="0" xfId="0" applyAlignment="1" applyFont="1">
      <alignment horizontal="left" readingOrder="0" vertical="top"/>
    </xf>
    <xf borderId="0" fillId="5" fontId="2" numFmtId="0" xfId="0" applyAlignment="1" applyFont="1">
      <alignment readingOrder="0" shrinkToFit="0" vertical="top" wrapText="1"/>
    </xf>
    <xf borderId="0" fillId="5" fontId="3" numFmtId="0" xfId="0" applyAlignment="1" applyFont="1">
      <alignment horizontal="left" vertical="top"/>
    </xf>
    <xf borderId="0" fillId="5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18" numFmtId="0" xfId="0" applyAlignment="1" applyFont="1">
      <alignment readingOrder="0" shrinkToFit="0" vertical="top" wrapText="0"/>
    </xf>
    <xf borderId="0" fillId="0" fontId="3" numFmtId="0" xfId="0" applyFont="1"/>
    <xf borderId="0" fillId="7" fontId="3" numFmtId="0" xfId="0" applyAlignment="1" applyFill="1" applyFont="1">
      <alignment horizontal="left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7" fontId="3" numFmtId="0" xfId="0" applyAlignment="1" applyFont="1">
      <alignment horizontal="left"/>
    </xf>
    <xf borderId="0" fillId="8" fontId="3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18" numFmtId="0" xfId="0" applyAlignment="1" applyFont="1">
      <alignment horizontal="left" readingOrder="0" vertical="top"/>
    </xf>
    <xf borderId="0" fillId="9" fontId="3" numFmtId="0" xfId="0" applyAlignment="1" applyFill="1" applyFont="1">
      <alignment readingOrder="0" vertical="top"/>
    </xf>
    <xf borderId="0" fillId="0" fontId="2" numFmtId="0" xfId="0" applyAlignment="1" applyFont="1">
      <alignment shrinkToFit="0" wrapText="1"/>
    </xf>
    <xf borderId="0" fillId="7" fontId="3" numFmtId="0" xfId="0" applyAlignment="1" applyFont="1">
      <alignment horizontal="left" readingOrder="0"/>
    </xf>
    <xf borderId="0" fillId="0" fontId="19" numFmtId="0" xfId="0" applyAlignment="1" applyFont="1">
      <alignment readingOrder="0" vertical="top"/>
    </xf>
    <xf borderId="0" fillId="2" fontId="3" numFmtId="0" xfId="0" applyFont="1"/>
    <xf borderId="0" fillId="5" fontId="3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AAFFAA"/>
          <bgColor rgb="FFAAFFAA"/>
        </patternFill>
      </fill>
      <border/>
    </dxf>
    <dxf>
      <font>
        <b/>
        <color rgb="FF990000"/>
      </font>
      <fill>
        <patternFill patternType="none"/>
      </fill>
      <border/>
    </dxf>
    <dxf>
      <font>
        <b/>
        <color rgb="FF980000"/>
      </font>
      <fill>
        <patternFill patternType="none"/>
      </fill>
      <border/>
    </dxf>
    <dxf>
      <font>
        <b/>
        <color rgb="FFD9D9D9"/>
      </font>
      <fill>
        <patternFill patternType="none"/>
      </fill>
      <border/>
    </dxf>
    <dxf>
      <font>
        <b/>
        <color rgb="FF999999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n HONG (洪鉦傑)" id="{3c636539-5fca-40b1-919c-8719ddfccc79}" providerId="google-sheets"/>
  <x18tc:person displayName="Sophia HUANG (黃元意)" id="{1f8e08df-8454-4a62-8e29-35ad32466c3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7" dT="2026-01-08T03:19:08.00" personId="{3c636539-5fca-40b1-919c-8719ddfccc79}" id="{81497b74-abcb-41e1-8758-c1d32247e118}" done="1">
    <x18tc:text xml:space="preserve">這是刻意創這個詞的嗎?
因為其他譯文沒有這個做法</x18tc:text>
  </x18tc:threadedComment>
  <x18tc:threadedComment ref="C16" dT="2026-01-08T03:24:04.00" personId="{3c636539-5fca-40b1-919c-8719ddfccc79}" id="{9da0e8b5-f8ef-4ef3-a8a4-db7996c49a45}" done="1">
    <x18tc:text xml:space="preserve">建議：
Bubble Dream -&gt; Shattered Dream
中文「夢想破滅」有比較明確的負面情緒、打擊感
Bubble Dream 給人感覺略微中性，因此建議調整成更能明確傳達情緒的詞</x18tc:text>
  </x18tc:threadedComment>
  <x18tc:threadedComment ref="C16" dT="2026-01-08T06:10:07.00" personId="{1f8e08df-8454-4a62-8e29-35ad32466c3a}" id="{4090def9-715a-482b-a618-d7891d8d57ce}" parentId="{9da0e8b5-f8ef-4ef3-a8a4-db7996c49a45}">
    <x18tc:text xml:space="preserve">sure!</x18tc:text>
  </x18tc:threadedComment>
  <x18tc:threadedComment ref="C15" dT="2026-01-08T03:18:29.00" personId="{3c636539-5fca-40b1-919c-8719ddfccc79}" id="{10d9ed92-0413-47a5-b840-1243c6202fe3}" done="1">
    <x18tc:text xml:space="preserve">純建議:
Apocalypse Ring -&gt; Doom Bell
原本的也沒不好
但 Apocalypse 的世紀感、末世感蠻重的，對上我們產品風格好像有點吃力
所以想說換個平凡的Doom Bell</x18tc:text>
  </x18tc:threadedComment>
  <x18tc:threadedComment ref="C15" dT="2026-01-08T06:10:34.00" personId="{1f8e08df-8454-4a62-8e29-35ad32466c3a}" id="{d255abbf-e357-4cfd-944f-ac789ca6e402}" parentId="{10d9ed92-0413-47a5-b840-1243c6202fe3}">
    <x18tc:text xml:space="preserve">sure</x18tc:text>
  </x18tc:threadedComment>
  <x18tc:threadedComment ref="C55" dT="2026-01-08T04:58:01.00" personId="{3c636539-5fca-40b1-919c-8719ddfccc79}" id="{efa24912-1b94-49c9-85c6-c3513b16107a}" done="1">
    <x18tc:text xml:space="preserve">擔心太長
有考慮  Echoing Bell 嗎?</x18tc:text>
  </x18tc:threadedComment>
  <x18tc:threadedComment ref="C55" dT="2026-01-08T06:06:52.00" personId="{1f8e08df-8454-4a62-8e29-35ad32466c3a}" id="{d36a0375-fce3-48a2-8a82-8527c887a783}" parentId="{efa24912-1b94-49c9-85c6-c3513b16107a}">
    <x18tc:text xml:space="preserve">可以啊 已調整</x18tc:text>
  </x18tc:threadedComment>
  <x18tc:threadedComment ref="C55" dT="2026-01-08T06:06:53.00" personId="{1f8e08df-8454-4a62-8e29-35ad32466c3a}" id="{fc0abf82-55f8-4d1f-a186-6cc37a4f2df9}" parentId="{efa24912-1b94-49c9-85c6-c3513b16107a}">
    <x18tc:text xml:space="preserve">標示為已解決</x18tc:text>
  </x18tc:threadedComment>
  <x18tc:threadedComment ref="C6" dT="2026-01-08T03:26:06.00" personId="{3c636539-5fca-40b1-919c-8719ddfccc79}" id="{6dac322b-21d0-493a-aba7-e9e3a98eecd9}" done="1">
    <x18tc:text xml:space="preserve">這個好難喔
quipper 很少見
但用roast又好像文化對不上
留個評論表示我看過</x18tc:text>
  </x18tc:threadedComment>
  <x18tc:threadedComment ref="C6" dT="2026-01-08T06:27:17.00" personId="{1f8e08df-8454-4a62-8e29-35ad32466c3a}" id="{5275888b-e648-4a77-8d0f-e9415f10f8ef}" parentId="{6dac322b-21d0-493a-aba7-e9e3a98eecd9}">
    <x18tc:text xml:space="preserve">Got an idea
Ridicule Fan</x18tc:text>
  </x18tc:threadedComment>
  <x18tc:threadedComment ref="C33" dT="2026-01-08T03:15:49.00" personId="{3c636539-5fca-40b1-919c-8719ddfccc79}" id="{862182c4-c4f1-4099-97e7-37152e7ab9b1}" done="1">
    <x18tc:text xml:space="preserve">純建議：
Irritating-&gt; Frenzy
frenzy 更有狂躁至傷害的感覺</x18tc:text>
  </x18tc:threadedComment>
  <x18tc:threadedComment ref="C33" dT="2026-01-08T06:09:34.00" personId="{1f8e08df-8454-4a62-8e29-35ad32466c3a}" id="{dc9f07c9-d353-41d5-aec1-a639783052b5}" parentId="{862182c4-c4f1-4099-97e7-37152e7ab9b1}">
    <x18tc:text xml:space="preserve">sure</x18tc:text>
  </x18tc:threadedComment>
  <x18tc:threadedComment ref="C48" dT="2026-01-08T03:22:17.00" personId="{3c636539-5fca-40b1-919c-8719ddfccc79}" id="{30dbabe6-c1ee-4057-9297-39e7f35925cd}" done="1">
    <x18tc:text xml:space="preserve">突破前的主體是Ark
突破後改成 Motion 有什麼用意嗎
感覺沒對上?</x18tc:text>
  </x18tc:threadedComment>
  <x18tc:threadedComment ref="C48" dT="2026-01-08T06:08:29.00" personId="{1f8e08df-8454-4a62-8e29-35ad32466c3a}" id="{889a813b-cdfb-4a48-85f2-9426f526726e}" parentId="{30dbabe6-c1ee-4057-9297-39e7f35925cd}">
    <x18tc:text xml:space="preserve">增強動力的意象
文字上我覺得沒必要突破前後都用ark
標示為已解決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t8TKNmla7lHtQRDbSLiRXqfKHin_8imVbKuITRm1Rzw/edit?gid=1892301246" TargetMode="External"/><Relationship Id="rId10" Type="http://schemas.openxmlformats.org/officeDocument/2006/relationships/hyperlink" Target="https://docs.google.com/spreadsheets/d/1D_yJ9IFR-iYCGWxV30ELUYNCgEU8ZjHO_nV0QsXjonI/edit?gid=93672067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D_yJ9IFR-iYCGWxV30ELUYNCgEU8ZjHO_nV0QsXjonI/edit?gid=2057747304" TargetMode="External"/><Relationship Id="rId1" Type="http://schemas.openxmlformats.org/officeDocument/2006/relationships/hyperlink" Target="https://docs.google.com/spreadsheets/d/1D_yJ9IFR-iYCGWxV30ELUYNCgEU8ZjHO_nV0QsXjonI/edit?gid=0" TargetMode="External"/><Relationship Id="rId2" Type="http://schemas.openxmlformats.org/officeDocument/2006/relationships/hyperlink" Target="https://docs.google.com/spreadsheets/d/1t8TKNmla7lHtQRDbSLiRXqfKHin_8imVbKuITRm1Rzw/edit?gid=343658773" TargetMode="External"/><Relationship Id="rId3" Type="http://schemas.openxmlformats.org/officeDocument/2006/relationships/hyperlink" Target="https://docs.google.com/spreadsheets/d/1D_yJ9IFR-iYCGWxV30ELUYNCgEU8ZjHO_nV0QsXjonI/edit?gid=1154253793" TargetMode="External"/><Relationship Id="rId4" Type="http://schemas.openxmlformats.org/officeDocument/2006/relationships/hyperlink" Target="https://docs.google.com/spreadsheets/d/1t8TKNmla7lHtQRDbSLiRXqfKHin_8imVbKuITRm1Rzw/edit?gid=475591082" TargetMode="External"/><Relationship Id="rId9" Type="http://schemas.openxmlformats.org/officeDocument/2006/relationships/hyperlink" Target="https://docs.google.com/spreadsheets/d/1t8TKNmla7lHtQRDbSLiRXqfKHin_8imVbKuITRm1Rzw/edit?gid=168444671" TargetMode="External"/><Relationship Id="rId5" Type="http://schemas.openxmlformats.org/officeDocument/2006/relationships/hyperlink" Target="https://docs.google.com/spreadsheets/d/1t8TKNmla7lHtQRDbSLiRXqfKHin_8imVbKuITRm1Rzw/edit?gid=1556590890" TargetMode="External"/><Relationship Id="rId6" Type="http://schemas.openxmlformats.org/officeDocument/2006/relationships/hyperlink" Target="https://docs.google.com/spreadsheets/d/1D_yJ9IFR-iYCGWxV30ELUYNCgEU8ZjHO_nV0QsXjonI/edit?gid=1117083329" TargetMode="External"/><Relationship Id="rId7" Type="http://schemas.openxmlformats.org/officeDocument/2006/relationships/hyperlink" Target="https://docs.google.com/spreadsheets/d/1t8TKNmla7lHtQRDbSLiRXqfKHin_8imVbKuITRm1Rzw/edit?gid=1022532302" TargetMode="External"/><Relationship Id="rId8" Type="http://schemas.openxmlformats.org/officeDocument/2006/relationships/hyperlink" Target="https://docs.google.com/spreadsheets/d/1t8TKNmla7lHtQRDbSLiRXqfKHin_8imVbKuITRm1Rzw/edit?gid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13"/>
    <col customWidth="1" min="5" max="8" width="17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/>
      <c r="B3" s="6" t="s">
        <v>3</v>
      </c>
      <c r="C3" s="6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" t="s">
        <v>4</v>
      </c>
      <c r="C4" s="6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6" t="s">
        <v>5</v>
      </c>
      <c r="C5" s="6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6" t="s">
        <v>7</v>
      </c>
      <c r="C6" s="6" t="s">
        <v>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6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10</v>
      </c>
      <c r="B9" s="3"/>
      <c r="C9" s="3"/>
      <c r="D9" s="7" t="s">
        <v>11</v>
      </c>
      <c r="E9" s="8" t="s">
        <v>12</v>
      </c>
      <c r="F9" s="9" t="s">
        <v>13</v>
      </c>
      <c r="G9" s="10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14</v>
      </c>
      <c r="B10" s="12" t="s">
        <v>15</v>
      </c>
      <c r="C10" s="12" t="s">
        <v>16</v>
      </c>
      <c r="D10" s="13" t="s">
        <v>17</v>
      </c>
      <c r="E10" s="14" t="s">
        <v>4</v>
      </c>
      <c r="F10" s="14" t="s">
        <v>5</v>
      </c>
      <c r="G10" s="14" t="s">
        <v>7</v>
      </c>
      <c r="H10" s="14" t="s">
        <v>18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6" t="s">
        <v>19</v>
      </c>
      <c r="B11" s="16" t="s">
        <v>20</v>
      </c>
      <c r="C11" s="17"/>
      <c r="D11" s="18" t="str">
        <f t="shared" ref="D11:D22" si="1">$E$9</f>
        <v>Endless Tides</v>
      </c>
      <c r="E11" s="5" t="str">
        <f>ifna(vlookup(D11,'世界觀'!B:F,2,false),"")</f>
        <v/>
      </c>
      <c r="F11" s="5" t="str">
        <f>ifna(vlookup(D11,'世界觀'!B:F,3,false),"")</f>
        <v/>
      </c>
      <c r="G11" s="5" t="str">
        <f>ifna(vlookup(D11,'世界觀'!B:F,4,false),"")</f>
        <v/>
      </c>
      <c r="H11" s="5" t="str">
        <f>ifna(vlookup(D11,'世界觀'!B:F,5,false),"")</f>
        <v/>
      </c>
      <c r="I11" s="1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21</v>
      </c>
      <c r="B12" s="20" t="s">
        <v>22</v>
      </c>
      <c r="C12" s="16" t="s">
        <v>23</v>
      </c>
      <c r="D12" s="18" t="str">
        <f t="shared" si="1"/>
        <v>Endless Tides</v>
      </c>
      <c r="E12" s="5" t="str">
        <f>ifna(vlookup(D12,'光球'!B:F,2,false),"")</f>
        <v/>
      </c>
      <c r="F12" s="5" t="str">
        <f>ifna(vlookup(D12,'光球'!B:F,3,false),"")</f>
        <v/>
      </c>
      <c r="G12" s="5" t="str">
        <f>ifna(vlookup(D12,'光球'!B:F,4,false),"")</f>
        <v/>
      </c>
      <c r="H12" s="5" t="str">
        <f>ifna(vlookup(D12,'光球'!B:F,5,false),"")</f>
        <v/>
      </c>
      <c r="I12" s="2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24</v>
      </c>
      <c r="B13" s="16" t="s">
        <v>25</v>
      </c>
      <c r="C13" s="16" t="s">
        <v>26</v>
      </c>
      <c r="D13" s="18" t="str">
        <f t="shared" si="1"/>
        <v>Endless Tides</v>
      </c>
      <c r="E13" s="5" t="str">
        <f>ifna(vlookup(D13,'玩法與系統'!B:F,2,false),"")</f>
        <v/>
      </c>
      <c r="F13" s="5" t="str">
        <f>ifna(vlookup(D13,'玩法與系統'!B:F,3,false),"")</f>
        <v/>
      </c>
      <c r="G13" s="5" t="str">
        <f>ifna(vlookup(D13,'玩法與系統'!B:F,4,false),"")</f>
        <v/>
      </c>
      <c r="H13" s="5" t="str">
        <f>ifna(vlookup(D13,'玩法與系統'!B:F,5,false),"")</f>
        <v/>
      </c>
      <c r="I13" s="2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27</v>
      </c>
      <c r="B14" s="20" t="s">
        <v>28</v>
      </c>
      <c r="C14" s="16" t="s">
        <v>29</v>
      </c>
      <c r="D14" s="18" t="str">
        <f t="shared" si="1"/>
        <v>Endless Tides</v>
      </c>
      <c r="E14" s="5" t="str">
        <f>ifna(vlookup(D14,'技能'!B:F,2,false),"")</f>
        <v/>
      </c>
      <c r="F14" s="5" t="str">
        <f>ifna(vlookup(D14,'技能'!B:F,3,false),"")</f>
        <v/>
      </c>
      <c r="G14" s="5" t="str">
        <f>ifna(vlookup(D14,'技能'!B:F,4,false),"")</f>
        <v/>
      </c>
      <c r="H14" s="5" t="str">
        <f>ifna(vlookup(D14,'技能'!B:F,5,false),"")</f>
        <v/>
      </c>
      <c r="I14" s="1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30</v>
      </c>
      <c r="B15" s="16" t="s">
        <v>31</v>
      </c>
      <c r="C15" s="16" t="s">
        <v>32</v>
      </c>
      <c r="D15" s="18" t="str">
        <f t="shared" si="1"/>
        <v>Endless Tides</v>
      </c>
      <c r="E15" s="5" t="str">
        <f>ifna(vlookup(D15,'裝備'!B:F,2,false),"")</f>
        <v/>
      </c>
      <c r="F15" s="5" t="str">
        <f>ifna(vlookup(D15,'裝備'!B:F,3,false),"")</f>
        <v/>
      </c>
      <c r="G15" s="5" t="str">
        <f>ifna(vlookup(D15,'裝備'!B:F,4,false),"")</f>
        <v/>
      </c>
      <c r="H15" s="5" t="str">
        <f>ifna(vlookup(D15,'裝備'!B:F,5,false),"")</f>
        <v/>
      </c>
      <c r="I15" s="1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33</v>
      </c>
      <c r="B16" s="20" t="s">
        <v>31</v>
      </c>
      <c r="C16" s="16" t="s">
        <v>34</v>
      </c>
      <c r="D16" s="18" t="str">
        <f t="shared" si="1"/>
        <v>Endless Tides</v>
      </c>
      <c r="E16" s="5" t="str">
        <f>ifna(vlookup(D16,'旅伴'!B:F,2,false),"")</f>
        <v/>
      </c>
      <c r="F16" s="5" t="str">
        <f>ifna(vlookup(D16,'旅伴'!B:F,3,false),"")</f>
        <v/>
      </c>
      <c r="G16" s="5" t="str">
        <f>ifna(vlookup(D16,'旅伴'!B:F,4,false),"")</f>
        <v/>
      </c>
      <c r="H16" s="5" t="str">
        <f>ifna(vlookup(D16,'旅伴'!B:F,5,false),"")</f>
        <v/>
      </c>
      <c r="I16" s="2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35</v>
      </c>
      <c r="B17" s="20" t="s">
        <v>36</v>
      </c>
      <c r="C17" s="20" t="s">
        <v>37</v>
      </c>
      <c r="D17" s="18" t="str">
        <f t="shared" si="1"/>
        <v>Endless Tides</v>
      </c>
      <c r="E17" s="5" t="str">
        <f>ifna(vlookup(D17,'道具'!B:F,2,false),"")</f>
        <v/>
      </c>
      <c r="F17" s="5" t="str">
        <f>ifna(vlookup(D17,'道具'!B:F,3,false),"")</f>
        <v/>
      </c>
      <c r="G17" s="5" t="str">
        <f>ifna(vlookup(D17,'道具'!B:F,4,false),"")</f>
        <v/>
      </c>
      <c r="H17" s="5" t="str">
        <f>ifna(vlookup(D17,'道具'!B:F,5,false),"")</f>
        <v/>
      </c>
      <c r="I17" s="1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38</v>
      </c>
      <c r="B18" s="16" t="s">
        <v>39</v>
      </c>
      <c r="C18" s="20" t="s">
        <v>40</v>
      </c>
      <c r="D18" s="18" t="str">
        <f t="shared" si="1"/>
        <v>Endless Tides</v>
      </c>
      <c r="E18" s="5" t="str">
        <f>ifna(vlookup(D18,'念痕'!B:F,2,false),"")</f>
        <v/>
      </c>
      <c r="F18" s="5" t="str">
        <f>ifna(vlookup(D18,'念痕'!B:F,3,false),"")</f>
        <v/>
      </c>
      <c r="G18" s="5" t="str">
        <f>ifna(vlookup(D18,'念痕'!B:F,4,false),"")</f>
        <v/>
      </c>
      <c r="H18" s="5" t="str">
        <f>ifna(vlookup(D18,'念痕'!B:F,5,false),"")</f>
        <v/>
      </c>
      <c r="I18" s="1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41</v>
      </c>
      <c r="B19" s="16" t="s">
        <v>42</v>
      </c>
      <c r="C19" s="17"/>
      <c r="D19" s="18" t="str">
        <f t="shared" si="1"/>
        <v>Endless Tides</v>
      </c>
      <c r="E19" s="5" t="str">
        <f>ifna(vlookup(D19,'光球'!B:F,2,false),"")</f>
        <v/>
      </c>
      <c r="F19" s="5" t="str">
        <f>ifna(vlookup(D19,'光球'!B:F,3,false),"")</f>
        <v/>
      </c>
      <c r="G19" s="5" t="str">
        <f>ifna(vlookup(D19,'光球'!B:F,4,false),"")</f>
        <v/>
      </c>
      <c r="H19" s="5" t="str">
        <f>ifna(vlookup(D19,'光球'!B:F,5,false),"")</f>
        <v/>
      </c>
      <c r="I19" s="19" t="s">
        <v>43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17"/>
      <c r="C20" s="17"/>
      <c r="D20" s="18" t="str">
        <f t="shared" si="1"/>
        <v>Endless Tides</v>
      </c>
      <c r="E20" s="5" t="str">
        <f>ifna(vlookup(D20,'光球'!B:F,2,false),"")</f>
        <v/>
      </c>
      <c r="F20" s="5" t="str">
        <f>ifna(vlookup(D20,'光球'!B:F,3,false),"")</f>
        <v/>
      </c>
      <c r="G20" s="5" t="str">
        <f>ifna(vlookup(D20,'光球'!B:F,4,false),"")</f>
        <v/>
      </c>
      <c r="H20" s="5" t="str">
        <f>ifna(vlookup(D20,'光球'!B:F,5,false),"")</f>
        <v/>
      </c>
      <c r="I20" s="19" t="s">
        <v>43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17"/>
      <c r="C21" s="17"/>
      <c r="D21" s="18" t="str">
        <f t="shared" si="1"/>
        <v>Endless Tides</v>
      </c>
      <c r="E21" s="5" t="str">
        <f>ifna(vlookup(D21,'光球'!B:F,2,false),"")</f>
        <v/>
      </c>
      <c r="F21" s="5" t="str">
        <f>ifna(vlookup(D21,'光球'!B:F,3,false),"")</f>
        <v/>
      </c>
      <c r="G21" s="5" t="str">
        <f>ifna(vlookup(D21,'光球'!B:F,4,false),"")</f>
        <v/>
      </c>
      <c r="H21" s="5" t="str">
        <f>ifna(vlookup(D21,'光球'!B:F,5,false),"")</f>
        <v/>
      </c>
      <c r="I21" s="19" t="s">
        <v>43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17"/>
      <c r="C22" s="17"/>
      <c r="D22" s="18" t="str">
        <f t="shared" si="1"/>
        <v>Endless Tides</v>
      </c>
      <c r="E22" s="5" t="str">
        <f>ifna(vlookup(D22,'光球'!B:F,2,false),"")</f>
        <v/>
      </c>
      <c r="F22" s="5" t="str">
        <f>ifna(vlookup(D22,'光球'!B:F,3,false),"")</f>
        <v/>
      </c>
      <c r="G22" s="5" t="str">
        <f>ifna(vlookup(D22,'光球'!B:F,4,false),"")</f>
        <v/>
      </c>
      <c r="H22" s="5" t="str">
        <f>ifna(vlookup(D22,'光球'!B:F,5,false),"")</f>
        <v/>
      </c>
      <c r="I22" s="19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" t="s">
        <v>44</v>
      </c>
      <c r="B25" s="22" t="s">
        <v>45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6" t="s">
        <v>46</v>
      </c>
      <c r="B26" s="6" t="s">
        <v>47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48</v>
      </c>
      <c r="B27" s="6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conditionalFormatting sqref="E11:H22">
    <cfRule type="notContainsBlanks" dxfId="0" priority="1">
      <formula>LEN(TRIM(E11))&gt;0</formula>
    </cfRule>
  </conditionalFormatting>
  <hyperlinks>
    <hyperlink r:id="rId1" location="gid=0&amp;range=A1" ref="B11"/>
    <hyperlink display="https://docs.google.com/spreadsheets/d/1D_yJ9IFR-iYCGWxV30ELUYNCgEU8ZjHO_nV0QsXjonI/edit?gid=1653246147#gid=1653246147&amp;range=A1" location="'光球'!A1" ref="B12"/>
    <hyperlink r:id="rId2" location="gid=343658773&amp;range=A1" ref="C12"/>
    <hyperlink r:id="rId3" location="gid=1154253793&amp;range=A1" ref="B13"/>
    <hyperlink r:id="rId4" location="gid=475591082&amp;range=A1" ref="C13"/>
    <hyperlink display="https://docs.google.com/spreadsheets/d/1D_yJ9IFR-iYCGWxV30ELUYNCgEU8ZjHO_nV0QsXjonI/edit?gid=500803902#gid=500803902&amp;range=A1" location="'技能'!A1" ref="B14"/>
    <hyperlink r:id="rId5" location="gid=1556590890&amp;range=A1" ref="C14"/>
    <hyperlink r:id="rId6" location="gid=1117083329&amp;range=A1" ref="B15"/>
    <hyperlink r:id="rId7" location="gid=1022532302&amp;range=A1" ref="C15"/>
    <hyperlink display="https://docs.google.com/spreadsheets/d/1D_yJ9IFR-iYCGWxV30ELUYNCgEU8ZjHO_nV0QsXjonI/edit?gid=1117083329#gid=1117083329&amp;range=A1" location="'旅伴'!A1" ref="B16"/>
    <hyperlink r:id="rId8" location="gid=0&amp;range=A1" ref="C16"/>
    <hyperlink display="https://docs.google.com/spreadsheets/d/1D_yJ9IFR-iYCGWxV30ELUYNCgEU8ZjHO_nV0QsXjonI/edit?gid=1449090086#gid=1449090086&amp;range=A1" location="'道具'!A1" ref="B17"/>
    <hyperlink r:id="rId9" location="gid=168444671&amp;range=A1" ref="C17"/>
    <hyperlink r:id="rId10" location="gid=936720670&amp;range=A1" ref="B18"/>
    <hyperlink r:id="rId11" location="gid=1892301246&amp;range=A1" ref="C18"/>
    <hyperlink r:id="rId12" location="gid=2057747304&amp;range=A1" ref="B1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5"/>
    <col customWidth="1" min="2" max="2" width="19.88"/>
    <col customWidth="1" min="3" max="3" width="17.63"/>
    <col customWidth="1" min="4" max="7" width="13.63"/>
  </cols>
  <sheetData>
    <row r="1">
      <c r="A1" s="24" t="s">
        <v>19</v>
      </c>
      <c r="B1" s="25"/>
      <c r="C1" s="25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>
      <c r="A2" s="12"/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>
      <c r="A3" s="12" t="s">
        <v>55</v>
      </c>
      <c r="B3" s="11" t="s">
        <v>3</v>
      </c>
      <c r="C3" s="11" t="s">
        <v>4</v>
      </c>
      <c r="D3" s="12" t="s">
        <v>5</v>
      </c>
      <c r="E3" s="12" t="s">
        <v>7</v>
      </c>
      <c r="F3" s="12" t="s">
        <v>18</v>
      </c>
      <c r="G3" s="12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>
      <c r="B4" s="28" t="s">
        <v>56</v>
      </c>
      <c r="C4" s="29" t="s">
        <v>57</v>
      </c>
      <c r="D4" s="6" t="s">
        <v>56</v>
      </c>
      <c r="E4" s="19" t="s">
        <v>58</v>
      </c>
      <c r="F4" s="30" t="s">
        <v>56</v>
      </c>
    </row>
    <row r="5">
      <c r="B5" s="29" t="s">
        <v>59</v>
      </c>
      <c r="C5" s="29" t="s">
        <v>60</v>
      </c>
      <c r="D5" s="6" t="s">
        <v>61</v>
      </c>
      <c r="E5" s="19" t="s">
        <v>62</v>
      </c>
      <c r="F5" s="30" t="s">
        <v>63</v>
      </c>
    </row>
    <row r="6">
      <c r="B6" s="29" t="s">
        <v>64</v>
      </c>
      <c r="C6" s="31" t="s">
        <v>65</v>
      </c>
      <c r="D6" s="6" t="s">
        <v>66</v>
      </c>
      <c r="E6" s="32" t="s">
        <v>67</v>
      </c>
      <c r="F6" s="33" t="s">
        <v>68</v>
      </c>
    </row>
    <row r="7">
      <c r="B7" s="31" t="s">
        <v>69</v>
      </c>
      <c r="C7" s="31" t="s">
        <v>70</v>
      </c>
      <c r="D7" s="31" t="s">
        <v>71</v>
      </c>
      <c r="E7" s="31" t="s">
        <v>72</v>
      </c>
      <c r="F7" s="31" t="s">
        <v>73</v>
      </c>
    </row>
    <row r="8">
      <c r="B8" s="31" t="s">
        <v>33</v>
      </c>
      <c r="C8" s="31" t="s">
        <v>74</v>
      </c>
      <c r="D8" s="31" t="s">
        <v>75</v>
      </c>
      <c r="E8" s="31" t="s">
        <v>76</v>
      </c>
      <c r="F8" s="31" t="s">
        <v>33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5"/>
    <col customWidth="1" min="6" max="6" width="15.88"/>
  </cols>
  <sheetData>
    <row r="1">
      <c r="A1" s="34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5"/>
    </row>
    <row r="2">
      <c r="A2" s="12"/>
      <c r="B2" s="12" t="s">
        <v>50</v>
      </c>
      <c r="C2" s="12" t="s">
        <v>51</v>
      </c>
      <c r="D2" s="12" t="s">
        <v>52</v>
      </c>
      <c r="E2" s="12" t="s">
        <v>53</v>
      </c>
      <c r="F2" s="12" t="s">
        <v>54</v>
      </c>
      <c r="G2" s="12" t="s">
        <v>77</v>
      </c>
      <c r="H2" s="12" t="s">
        <v>78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5"/>
    </row>
    <row r="3">
      <c r="A3" s="12" t="s">
        <v>55</v>
      </c>
      <c r="B3" s="11" t="s">
        <v>3</v>
      </c>
      <c r="C3" s="11" t="s">
        <v>4</v>
      </c>
      <c r="D3" s="12" t="s">
        <v>5</v>
      </c>
      <c r="E3" s="12" t="s">
        <v>7</v>
      </c>
      <c r="F3" s="12" t="s">
        <v>18</v>
      </c>
      <c r="G3" s="12" t="s">
        <v>79</v>
      </c>
      <c r="H3" s="12" t="s">
        <v>80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5"/>
    </row>
    <row r="4">
      <c r="A4" s="6"/>
      <c r="B4" s="6" t="s">
        <v>21</v>
      </c>
      <c r="C4" s="6" t="s">
        <v>81</v>
      </c>
      <c r="D4" s="19" t="s">
        <v>82</v>
      </c>
      <c r="E4" s="36" t="s">
        <v>83</v>
      </c>
      <c r="F4" s="30" t="s">
        <v>21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/>
      <c r="B5" s="15" t="s">
        <v>84</v>
      </c>
      <c r="C5" s="15" t="s">
        <v>85</v>
      </c>
      <c r="D5" s="6" t="s">
        <v>86</v>
      </c>
      <c r="E5" s="6" t="s">
        <v>87</v>
      </c>
      <c r="F5" s="30" t="s">
        <v>84</v>
      </c>
      <c r="G5" s="15" t="s">
        <v>85</v>
      </c>
      <c r="H5" s="15" t="s">
        <v>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/>
      <c r="B6" s="6" t="s">
        <v>88</v>
      </c>
      <c r="C6" s="6" t="s">
        <v>89</v>
      </c>
      <c r="D6" s="6" t="s">
        <v>90</v>
      </c>
      <c r="E6" s="6" t="s">
        <v>91</v>
      </c>
      <c r="F6" s="30" t="s">
        <v>92</v>
      </c>
      <c r="G6" s="6" t="s">
        <v>89</v>
      </c>
      <c r="H6" s="6" t="s">
        <v>89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/>
      <c r="B7" s="6" t="s">
        <v>93</v>
      </c>
      <c r="C7" s="6" t="s">
        <v>94</v>
      </c>
      <c r="D7" s="6" t="s">
        <v>95</v>
      </c>
      <c r="E7" s="6" t="s">
        <v>96</v>
      </c>
      <c r="F7" s="30" t="s">
        <v>93</v>
      </c>
      <c r="G7" s="6" t="s">
        <v>94</v>
      </c>
      <c r="H7" s="6" t="s">
        <v>94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/>
      <c r="B8" s="6" t="s">
        <v>41</v>
      </c>
      <c r="C8" s="6" t="s">
        <v>97</v>
      </c>
      <c r="D8" s="6" t="s">
        <v>98</v>
      </c>
      <c r="E8" s="19" t="s">
        <v>99</v>
      </c>
      <c r="F8" s="30" t="s">
        <v>100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5"/>
    <col customWidth="1" hidden="1" min="3" max="3" width="24.5"/>
    <col customWidth="1" min="4" max="4" width="19.38"/>
  </cols>
  <sheetData>
    <row r="1">
      <c r="A1" s="34" t="s">
        <v>41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5"/>
    </row>
    <row r="2">
      <c r="A2" s="12"/>
      <c r="B2" s="12" t="s">
        <v>101</v>
      </c>
      <c r="C2" s="12" t="s">
        <v>51</v>
      </c>
      <c r="D2" s="12" t="s">
        <v>102</v>
      </c>
      <c r="E2" s="12" t="s">
        <v>53</v>
      </c>
      <c r="F2" s="12" t="s">
        <v>54</v>
      </c>
      <c r="G2" s="12" t="s">
        <v>77</v>
      </c>
      <c r="H2" s="12" t="s">
        <v>78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5"/>
    </row>
    <row r="3">
      <c r="A3" s="12" t="s">
        <v>55</v>
      </c>
      <c r="B3" s="11" t="s">
        <v>3</v>
      </c>
      <c r="C3" s="11" t="s">
        <v>4</v>
      </c>
      <c r="D3" s="12" t="s">
        <v>5</v>
      </c>
      <c r="E3" s="12" t="s">
        <v>7</v>
      </c>
      <c r="F3" s="12" t="s">
        <v>18</v>
      </c>
      <c r="G3" s="12" t="s">
        <v>7</v>
      </c>
      <c r="H3" s="12" t="s">
        <v>80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5"/>
    </row>
    <row r="4">
      <c r="A4" s="6"/>
      <c r="B4" s="37" t="s">
        <v>103</v>
      </c>
      <c r="C4" s="6" t="s">
        <v>104</v>
      </c>
      <c r="D4" s="6" t="s">
        <v>105</v>
      </c>
      <c r="E4" s="6" t="s">
        <v>106</v>
      </c>
      <c r="F4" s="30" t="s">
        <v>107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/>
      <c r="B5" s="37" t="s">
        <v>108</v>
      </c>
      <c r="C5" s="38" t="s">
        <v>109</v>
      </c>
      <c r="D5" s="6" t="s">
        <v>110</v>
      </c>
      <c r="E5" s="6" t="s">
        <v>111</v>
      </c>
      <c r="F5" s="30" t="s">
        <v>112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/>
      <c r="B6" s="37" t="s">
        <v>113</v>
      </c>
      <c r="C6" s="37" t="s">
        <v>114</v>
      </c>
      <c r="D6" s="6" t="s">
        <v>115</v>
      </c>
      <c r="E6" s="6" t="s">
        <v>116</v>
      </c>
      <c r="F6" s="30" t="s">
        <v>117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/>
      <c r="B7" s="6" t="s">
        <v>118</v>
      </c>
      <c r="C7" s="6" t="s">
        <v>119</v>
      </c>
      <c r="D7" s="6" t="s">
        <v>120</v>
      </c>
      <c r="E7" s="6" t="s">
        <v>121</v>
      </c>
      <c r="F7" s="30" t="s">
        <v>122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/>
      <c r="B8" s="37" t="s">
        <v>123</v>
      </c>
      <c r="C8" s="6" t="s">
        <v>124</v>
      </c>
      <c r="D8" s="6" t="s">
        <v>125</v>
      </c>
      <c r="E8" s="6" t="s">
        <v>126</v>
      </c>
      <c r="F8" s="30" t="s">
        <v>127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/>
      <c r="B9" s="6" t="s">
        <v>128</v>
      </c>
      <c r="C9" s="6" t="s">
        <v>129</v>
      </c>
      <c r="D9" s="6" t="s">
        <v>130</v>
      </c>
      <c r="E9" s="6" t="s">
        <v>131</v>
      </c>
      <c r="F9" s="30" t="s">
        <v>132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/>
      <c r="B10" s="37" t="s">
        <v>133</v>
      </c>
      <c r="C10" s="37" t="s">
        <v>134</v>
      </c>
      <c r="D10" s="6" t="s">
        <v>135</v>
      </c>
      <c r="E10" s="6" t="s">
        <v>136</v>
      </c>
      <c r="F10" s="30" t="s">
        <v>133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/>
      <c r="B11" s="37" t="s">
        <v>137</v>
      </c>
      <c r="C11" s="6" t="s">
        <v>138</v>
      </c>
      <c r="D11" s="6" t="s">
        <v>139</v>
      </c>
      <c r="E11" s="6" t="s">
        <v>140</v>
      </c>
      <c r="F11" s="30" t="s">
        <v>137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/>
      <c r="B12" s="6" t="s">
        <v>141</v>
      </c>
      <c r="C12" s="37" t="s">
        <v>142</v>
      </c>
      <c r="D12" s="6" t="s">
        <v>143</v>
      </c>
      <c r="E12" s="6" t="s">
        <v>144</v>
      </c>
      <c r="F12" s="30" t="s">
        <v>141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/>
      <c r="B13" s="37" t="s">
        <v>145</v>
      </c>
      <c r="C13" s="37" t="s">
        <v>146</v>
      </c>
      <c r="D13" s="6" t="s">
        <v>147</v>
      </c>
      <c r="E13" s="6" t="s">
        <v>148</v>
      </c>
      <c r="F13" s="30" t="s">
        <v>149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/>
      <c r="B14" s="37" t="s">
        <v>150</v>
      </c>
      <c r="C14" s="6" t="s">
        <v>151</v>
      </c>
      <c r="D14" s="6" t="s">
        <v>152</v>
      </c>
      <c r="E14" s="6" t="s">
        <v>153</v>
      </c>
      <c r="F14" s="30" t="s">
        <v>154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/>
      <c r="B15" s="37" t="s">
        <v>155</v>
      </c>
      <c r="C15" s="37" t="s">
        <v>156</v>
      </c>
      <c r="D15" s="6" t="s">
        <v>157</v>
      </c>
      <c r="E15" s="6" t="s">
        <v>158</v>
      </c>
      <c r="F15" s="30" t="s">
        <v>159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"/>
      <c r="B16" s="37" t="s">
        <v>160</v>
      </c>
      <c r="C16" s="37" t="s">
        <v>161</v>
      </c>
      <c r="D16" s="6" t="s">
        <v>162</v>
      </c>
      <c r="E16" s="6" t="s">
        <v>163</v>
      </c>
      <c r="F16" s="30" t="s">
        <v>164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"/>
      <c r="B17" s="37" t="s">
        <v>165</v>
      </c>
      <c r="C17" s="37" t="s">
        <v>166</v>
      </c>
      <c r="D17" s="31" t="s">
        <v>167</v>
      </c>
      <c r="E17" s="6" t="s">
        <v>168</v>
      </c>
      <c r="F17" s="30" t="s">
        <v>169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/>
      <c r="B18" s="37" t="s">
        <v>170</v>
      </c>
      <c r="C18" s="37" t="s">
        <v>171</v>
      </c>
      <c r="D18" s="31" t="s">
        <v>172</v>
      </c>
      <c r="E18" s="6" t="s">
        <v>173</v>
      </c>
      <c r="F18" s="30" t="s">
        <v>174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6"/>
      <c r="B19" s="37" t="s">
        <v>175</v>
      </c>
      <c r="C19" s="6" t="s">
        <v>176</v>
      </c>
      <c r="D19" s="6" t="s">
        <v>177</v>
      </c>
      <c r="E19" s="6" t="s">
        <v>178</v>
      </c>
      <c r="F19" s="30" t="s">
        <v>179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6"/>
      <c r="B20" s="37" t="s">
        <v>180</v>
      </c>
      <c r="C20" s="37" t="s">
        <v>181</v>
      </c>
      <c r="D20" s="6" t="s">
        <v>182</v>
      </c>
      <c r="E20" s="6" t="s">
        <v>183</v>
      </c>
      <c r="F20" s="30" t="s">
        <v>184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/>
      <c r="B21" s="37" t="s">
        <v>185</v>
      </c>
      <c r="C21" s="37" t="s">
        <v>186</v>
      </c>
      <c r="D21" s="6" t="s">
        <v>187</v>
      </c>
      <c r="E21" s="6" t="s">
        <v>188</v>
      </c>
      <c r="F21" s="30" t="s">
        <v>189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6" t="s">
        <v>190</v>
      </c>
      <c r="C22" s="6" t="s">
        <v>191</v>
      </c>
      <c r="D22" s="6" t="s">
        <v>192</v>
      </c>
      <c r="E22" s="6" t="s">
        <v>193</v>
      </c>
      <c r="F22" s="30" t="s">
        <v>194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6" t="s">
        <v>195</v>
      </c>
      <c r="C23" s="6" t="s">
        <v>196</v>
      </c>
      <c r="D23" s="31" t="s">
        <v>197</v>
      </c>
      <c r="E23" s="6" t="s">
        <v>198</v>
      </c>
      <c r="F23" s="30" t="s">
        <v>199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6" t="s">
        <v>200</v>
      </c>
      <c r="C24" s="6" t="s">
        <v>201</v>
      </c>
      <c r="D24" s="6" t="s">
        <v>202</v>
      </c>
      <c r="E24" s="6" t="s">
        <v>203</v>
      </c>
      <c r="F24" s="30" t="s">
        <v>204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6" t="s">
        <v>205</v>
      </c>
      <c r="C25" s="6" t="s">
        <v>206</v>
      </c>
      <c r="D25" s="6" t="s">
        <v>207</v>
      </c>
      <c r="E25" s="6" t="s">
        <v>208</v>
      </c>
      <c r="F25" s="30" t="s">
        <v>209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6" t="s">
        <v>210</v>
      </c>
      <c r="C26" s="6" t="s">
        <v>211</v>
      </c>
      <c r="D26" s="31" t="s">
        <v>212</v>
      </c>
      <c r="E26" s="6" t="s">
        <v>213</v>
      </c>
      <c r="F26" s="30" t="s">
        <v>214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6" t="s">
        <v>215</v>
      </c>
      <c r="C27" s="6" t="s">
        <v>216</v>
      </c>
      <c r="D27" s="6" t="s">
        <v>217</v>
      </c>
      <c r="E27" s="6" t="s">
        <v>218</v>
      </c>
      <c r="F27" s="30" t="s">
        <v>219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63"/>
    <col customWidth="1" min="3" max="3" width="14.75"/>
  </cols>
  <sheetData>
    <row r="1">
      <c r="A1" s="34" t="s">
        <v>24</v>
      </c>
      <c r="B1" s="39"/>
      <c r="C1" s="3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/>
      <c r="W1" s="41"/>
      <c r="X1" s="41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5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5"/>
    </row>
    <row r="4">
      <c r="A4" s="6"/>
      <c r="B4" s="43" t="s">
        <v>221</v>
      </c>
      <c r="C4" s="44" t="s">
        <v>222</v>
      </c>
      <c r="D4" s="6" t="s">
        <v>223</v>
      </c>
      <c r="E4" s="6" t="s">
        <v>224</v>
      </c>
      <c r="F4" s="30" t="s">
        <v>221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/>
      <c r="B5" s="45" t="s">
        <v>225</v>
      </c>
      <c r="C5" s="44" t="s">
        <v>226</v>
      </c>
      <c r="D5" s="6" t="s">
        <v>227</v>
      </c>
      <c r="E5" s="6" t="s">
        <v>228</v>
      </c>
      <c r="F5" s="30" t="s">
        <v>225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/>
      <c r="B6" s="46" t="s">
        <v>229</v>
      </c>
      <c r="C6" s="44" t="s">
        <v>230</v>
      </c>
      <c r="D6" s="6" t="s">
        <v>231</v>
      </c>
      <c r="E6" s="6" t="s">
        <v>232</v>
      </c>
      <c r="F6" s="30" t="s">
        <v>233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/>
      <c r="B7" s="45" t="s">
        <v>234</v>
      </c>
      <c r="C7" s="44" t="s">
        <v>235</v>
      </c>
      <c r="D7" s="6" t="s">
        <v>236</v>
      </c>
      <c r="E7" s="6" t="s">
        <v>237</v>
      </c>
      <c r="F7" s="30" t="s">
        <v>238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"/>
      <c r="B8" s="45" t="s">
        <v>239</v>
      </c>
      <c r="C8" s="47" t="s">
        <v>240</v>
      </c>
      <c r="D8" s="6" t="s">
        <v>241</v>
      </c>
      <c r="E8" s="36" t="s">
        <v>242</v>
      </c>
      <c r="F8" s="30" t="s">
        <v>243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/>
      <c r="B9" s="45" t="s">
        <v>244</v>
      </c>
      <c r="C9" s="44" t="s">
        <v>245</v>
      </c>
      <c r="D9" s="6" t="s">
        <v>246</v>
      </c>
      <c r="E9" s="19" t="s">
        <v>247</v>
      </c>
      <c r="F9" s="30" t="s">
        <v>248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/>
      <c r="B10" s="45" t="s">
        <v>249</v>
      </c>
      <c r="C10" s="44" t="s">
        <v>250</v>
      </c>
      <c r="D10" s="6" t="s">
        <v>251</v>
      </c>
      <c r="E10" s="6" t="s">
        <v>252</v>
      </c>
      <c r="F10" s="30" t="s">
        <v>253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/>
      <c r="B11" s="46" t="s">
        <v>254</v>
      </c>
      <c r="C11" s="44" t="s">
        <v>12</v>
      </c>
      <c r="D11" s="6" t="s">
        <v>255</v>
      </c>
      <c r="E11" s="6" t="s">
        <v>256</v>
      </c>
      <c r="F11" s="30" t="s">
        <v>257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6"/>
      <c r="B12" s="46" t="s">
        <v>258</v>
      </c>
      <c r="C12" s="44" t="s">
        <v>259</v>
      </c>
      <c r="D12" s="6" t="s">
        <v>260</v>
      </c>
      <c r="E12" s="6" t="s">
        <v>261</v>
      </c>
      <c r="F12" s="30" t="s">
        <v>262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/>
      <c r="B13" s="45" t="s">
        <v>263</v>
      </c>
      <c r="C13" s="45" t="s">
        <v>264</v>
      </c>
      <c r="D13" s="6" t="s">
        <v>263</v>
      </c>
      <c r="E13" s="6" t="s">
        <v>265</v>
      </c>
      <c r="F13" s="30" t="s">
        <v>266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6" t="s">
        <v>46</v>
      </c>
      <c r="B14" s="45" t="s">
        <v>33</v>
      </c>
      <c r="C14" s="45" t="s">
        <v>74</v>
      </c>
      <c r="D14" s="6" t="s">
        <v>75</v>
      </c>
      <c r="E14" s="48" t="s">
        <v>76</v>
      </c>
      <c r="F14" s="30" t="s">
        <v>33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/>
      <c r="B15" s="45" t="s">
        <v>30</v>
      </c>
      <c r="C15" s="45" t="s">
        <v>267</v>
      </c>
      <c r="D15" s="6" t="s">
        <v>268</v>
      </c>
      <c r="E15" s="6" t="s">
        <v>269</v>
      </c>
      <c r="F15" s="30" t="s">
        <v>270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6"/>
      <c r="B16" s="45" t="s">
        <v>38</v>
      </c>
      <c r="C16" s="45" t="s">
        <v>271</v>
      </c>
      <c r="D16" s="6" t="s">
        <v>38</v>
      </c>
      <c r="E16" s="6" t="s">
        <v>272</v>
      </c>
      <c r="F16" s="30" t="s">
        <v>38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6"/>
      <c r="B17" s="45" t="s">
        <v>273</v>
      </c>
      <c r="C17" s="45" t="s">
        <v>274</v>
      </c>
      <c r="D17" s="6" t="s">
        <v>275</v>
      </c>
      <c r="E17" s="6" t="s">
        <v>276</v>
      </c>
      <c r="F17" s="30" t="s">
        <v>273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/>
      <c r="B18" s="45" t="s">
        <v>277</v>
      </c>
      <c r="C18" s="45" t="s">
        <v>278</v>
      </c>
      <c r="D18" s="6" t="s">
        <v>279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6"/>
      <c r="B19" s="45" t="s">
        <v>280</v>
      </c>
      <c r="C19" s="45" t="s">
        <v>281</v>
      </c>
      <c r="D19" s="6" t="s">
        <v>282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6"/>
      <c r="B20" s="45" t="s">
        <v>283</v>
      </c>
      <c r="C20" s="45" t="s">
        <v>284</v>
      </c>
      <c r="D20" s="6" t="s">
        <v>285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/>
      <c r="B21" s="45" t="s">
        <v>286</v>
      </c>
      <c r="C21" s="45" t="s">
        <v>287</v>
      </c>
      <c r="D21" s="6" t="s">
        <v>288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6"/>
      <c r="B22" s="45" t="s">
        <v>289</v>
      </c>
      <c r="C22" s="45" t="s">
        <v>290</v>
      </c>
      <c r="D22" s="6" t="s">
        <v>291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6"/>
      <c r="B23" s="45" t="s">
        <v>292</v>
      </c>
      <c r="C23" s="45" t="s">
        <v>293</v>
      </c>
      <c r="D23" s="6" t="s">
        <v>294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6"/>
      <c r="B24" s="45" t="s">
        <v>295</v>
      </c>
      <c r="C24" s="45" t="s">
        <v>296</v>
      </c>
      <c r="D24" s="6" t="s">
        <v>297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45" t="s">
        <v>298</v>
      </c>
      <c r="C25" s="45" t="s">
        <v>299</v>
      </c>
      <c r="D25" s="6" t="s">
        <v>298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45" t="s">
        <v>300</v>
      </c>
      <c r="C26" s="45" t="s">
        <v>301</v>
      </c>
      <c r="D26" s="6" t="s">
        <v>302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45" t="s">
        <v>303</v>
      </c>
      <c r="C27" s="45" t="s">
        <v>304</v>
      </c>
      <c r="D27" s="6" t="s">
        <v>305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46"/>
      <c r="C28" s="4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46"/>
      <c r="C29" s="4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46"/>
      <c r="C30" s="4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46"/>
      <c r="C31" s="4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46"/>
      <c r="C32" s="4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46"/>
      <c r="C33" s="4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46"/>
      <c r="C34" s="4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46"/>
      <c r="C35" s="4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46"/>
      <c r="C36" s="4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46"/>
      <c r="C37" s="4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46"/>
      <c r="C38" s="4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46"/>
      <c r="C39" s="4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46"/>
      <c r="C40" s="4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46"/>
      <c r="C41" s="4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46"/>
      <c r="C42" s="4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46"/>
      <c r="C43" s="4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46"/>
      <c r="C44" s="4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46"/>
      <c r="C45" s="4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46"/>
      <c r="C46" s="4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46"/>
      <c r="C47" s="4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46"/>
      <c r="C48" s="4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46"/>
      <c r="C49" s="4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46"/>
      <c r="C50" s="4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46"/>
      <c r="C51" s="4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46"/>
      <c r="C52" s="4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46"/>
      <c r="C53" s="4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46"/>
      <c r="C54" s="4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46"/>
      <c r="C55" s="4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46"/>
      <c r="C56" s="4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46"/>
      <c r="C57" s="4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46"/>
      <c r="C58" s="4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46"/>
      <c r="C59" s="4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46"/>
      <c r="C60" s="4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46"/>
      <c r="C61" s="4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46"/>
      <c r="C62" s="4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46"/>
      <c r="C63" s="4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46"/>
      <c r="C64" s="4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46"/>
      <c r="C65" s="4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46"/>
      <c r="C66" s="4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46"/>
      <c r="C67" s="4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46"/>
      <c r="C68" s="4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46"/>
      <c r="C69" s="4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46"/>
      <c r="C70" s="4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46"/>
      <c r="C71" s="4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46"/>
      <c r="C72" s="4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46"/>
      <c r="C73" s="4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46"/>
      <c r="C74" s="4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46"/>
      <c r="C75" s="4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46"/>
      <c r="C76" s="4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46"/>
      <c r="C77" s="4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46"/>
      <c r="C78" s="4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46"/>
      <c r="C79" s="4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46"/>
      <c r="C80" s="4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46"/>
      <c r="C81" s="4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46"/>
      <c r="C82" s="4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46"/>
      <c r="C83" s="4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46"/>
      <c r="C84" s="4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46"/>
      <c r="C85" s="4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46"/>
      <c r="C86" s="4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46"/>
      <c r="C87" s="4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46"/>
      <c r="C88" s="4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46"/>
      <c r="C89" s="4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46"/>
      <c r="C90" s="4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46"/>
      <c r="C91" s="4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46"/>
      <c r="C92" s="4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46"/>
      <c r="C93" s="4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46"/>
      <c r="C94" s="4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46"/>
      <c r="C95" s="4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46"/>
      <c r="C96" s="4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46"/>
      <c r="C97" s="4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46"/>
      <c r="C98" s="4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46"/>
      <c r="C99" s="4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46"/>
      <c r="C100" s="4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46"/>
      <c r="C101" s="4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46"/>
      <c r="C102" s="4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46"/>
      <c r="C103" s="4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46"/>
      <c r="C104" s="4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46"/>
      <c r="C105" s="4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46"/>
      <c r="C106" s="4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46"/>
      <c r="C107" s="4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46"/>
      <c r="C108" s="4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46"/>
      <c r="C109" s="4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46"/>
      <c r="C110" s="4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46"/>
      <c r="C111" s="4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46"/>
      <c r="C112" s="4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46"/>
      <c r="C113" s="4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46"/>
      <c r="C114" s="4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46"/>
      <c r="C115" s="4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46"/>
      <c r="C116" s="4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46"/>
      <c r="C117" s="4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46"/>
      <c r="C118" s="4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46"/>
      <c r="C119" s="4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46"/>
      <c r="C120" s="4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46"/>
      <c r="C121" s="4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46"/>
      <c r="C122" s="4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46"/>
      <c r="C123" s="4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46"/>
      <c r="C124" s="4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46"/>
      <c r="C125" s="4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46"/>
      <c r="C126" s="4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46"/>
      <c r="C127" s="4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46"/>
      <c r="C128" s="4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46"/>
      <c r="C129" s="4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46"/>
      <c r="C130" s="4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46"/>
      <c r="C131" s="4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46"/>
      <c r="C132" s="4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46"/>
      <c r="C133" s="4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46"/>
      <c r="C134" s="4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46"/>
      <c r="C135" s="4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46"/>
      <c r="C136" s="4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46"/>
      <c r="C137" s="4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46"/>
      <c r="C138" s="4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46"/>
      <c r="C139" s="4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46"/>
      <c r="C140" s="4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46"/>
      <c r="C141" s="4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46"/>
      <c r="C142" s="4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46"/>
      <c r="C143" s="4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46"/>
      <c r="C144" s="4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46"/>
      <c r="C145" s="4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46"/>
      <c r="C146" s="4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46"/>
      <c r="C147" s="4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46"/>
      <c r="C148" s="4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46"/>
      <c r="C149" s="4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46"/>
      <c r="C150" s="4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46"/>
      <c r="C151" s="4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46"/>
      <c r="C152" s="4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46"/>
      <c r="C153" s="4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46"/>
      <c r="C154" s="4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46"/>
      <c r="C155" s="4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46"/>
      <c r="C156" s="4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46"/>
      <c r="C157" s="4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46"/>
      <c r="C158" s="4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46"/>
      <c r="C159" s="4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46"/>
      <c r="C160" s="4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46"/>
      <c r="C161" s="4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46"/>
      <c r="C162" s="4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46"/>
      <c r="C163" s="4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46"/>
      <c r="C164" s="4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46"/>
      <c r="C165" s="4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46"/>
      <c r="C166" s="4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46"/>
      <c r="C167" s="4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46"/>
      <c r="C168" s="4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46"/>
      <c r="C169" s="4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46"/>
      <c r="C170" s="4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46"/>
      <c r="C171" s="4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46"/>
      <c r="C172" s="4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46"/>
      <c r="C173" s="4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46"/>
      <c r="C174" s="4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46"/>
      <c r="C175" s="4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46"/>
      <c r="C176" s="4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46"/>
      <c r="C177" s="4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46"/>
      <c r="C178" s="4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46"/>
      <c r="C179" s="4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46"/>
      <c r="C180" s="4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46"/>
      <c r="C181" s="4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46"/>
      <c r="C182" s="4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46"/>
      <c r="C183" s="4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46"/>
      <c r="C184" s="4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46"/>
      <c r="C185" s="4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46"/>
      <c r="C186" s="4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46"/>
      <c r="C187" s="4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46"/>
      <c r="C188" s="4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46"/>
      <c r="C189" s="4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46"/>
      <c r="C190" s="4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46"/>
      <c r="C191" s="4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46"/>
      <c r="C192" s="4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46"/>
      <c r="C193" s="4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46"/>
      <c r="C194" s="4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46"/>
      <c r="C195" s="4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46"/>
      <c r="C196" s="4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46"/>
      <c r="C197" s="4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46"/>
      <c r="C198" s="4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46"/>
      <c r="C199" s="4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46"/>
      <c r="C200" s="4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46"/>
      <c r="C201" s="4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46"/>
      <c r="C202" s="4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46"/>
      <c r="C203" s="4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46"/>
      <c r="C204" s="4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46"/>
      <c r="C205" s="4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46"/>
      <c r="C206" s="4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46"/>
      <c r="C207" s="4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46"/>
      <c r="C208" s="4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46"/>
      <c r="C209" s="4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46"/>
      <c r="C210" s="4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46"/>
      <c r="C211" s="4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46"/>
      <c r="C212" s="4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46"/>
      <c r="C213" s="4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46"/>
      <c r="C214" s="4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46"/>
      <c r="C215" s="4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46"/>
      <c r="C216" s="4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46"/>
      <c r="C217" s="4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46"/>
      <c r="C218" s="4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46"/>
      <c r="C219" s="4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46"/>
      <c r="C220" s="4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46"/>
      <c r="C221" s="4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46"/>
      <c r="C222" s="4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46"/>
      <c r="C223" s="4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46"/>
      <c r="C224" s="4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46"/>
      <c r="C225" s="4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46"/>
      <c r="C226" s="4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46"/>
      <c r="C227" s="4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46"/>
      <c r="C228" s="4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46"/>
      <c r="C229" s="4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46"/>
      <c r="C230" s="4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46"/>
      <c r="C231" s="4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46"/>
      <c r="C232" s="4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46"/>
      <c r="C233" s="4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46"/>
      <c r="C234" s="4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46"/>
      <c r="C235" s="4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46"/>
      <c r="C236" s="4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46"/>
      <c r="C237" s="4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46"/>
      <c r="C238" s="4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46"/>
      <c r="C239" s="4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46"/>
      <c r="C240" s="4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46"/>
      <c r="C241" s="4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46"/>
      <c r="C242" s="4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46"/>
      <c r="C243" s="4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46"/>
      <c r="C244" s="4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46"/>
      <c r="C245" s="4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46"/>
      <c r="C246" s="4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46"/>
      <c r="C247" s="4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46"/>
      <c r="C248" s="4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46"/>
      <c r="C249" s="4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46"/>
      <c r="C250" s="4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46"/>
      <c r="C251" s="4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46"/>
      <c r="C252" s="4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46"/>
      <c r="C253" s="4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46"/>
      <c r="C254" s="4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46"/>
      <c r="C255" s="4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46"/>
      <c r="C256" s="4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46"/>
      <c r="C257" s="4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46"/>
      <c r="C258" s="4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46"/>
      <c r="C259" s="4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46"/>
      <c r="C260" s="4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46"/>
      <c r="C261" s="4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46"/>
      <c r="C262" s="4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46"/>
      <c r="C263" s="4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46"/>
      <c r="C264" s="4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46"/>
      <c r="C265" s="4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46"/>
      <c r="C266" s="4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46"/>
      <c r="C267" s="4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46"/>
      <c r="C268" s="4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46"/>
      <c r="C269" s="4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46"/>
      <c r="C270" s="4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46"/>
      <c r="C271" s="4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46"/>
      <c r="C272" s="4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46"/>
      <c r="C273" s="4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46"/>
      <c r="C274" s="4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46"/>
      <c r="C275" s="4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46"/>
      <c r="C276" s="4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46"/>
      <c r="C277" s="4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46"/>
      <c r="C278" s="4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46"/>
      <c r="C279" s="4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46"/>
      <c r="C280" s="4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46"/>
      <c r="C281" s="4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46"/>
      <c r="C282" s="4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46"/>
      <c r="C283" s="4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46"/>
      <c r="C284" s="4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46"/>
      <c r="C285" s="4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46"/>
      <c r="C286" s="4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46"/>
      <c r="C287" s="4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46"/>
      <c r="C288" s="4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46"/>
      <c r="C289" s="4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46"/>
      <c r="C290" s="4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46"/>
      <c r="C291" s="4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46"/>
      <c r="C292" s="4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46"/>
      <c r="C293" s="4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46"/>
      <c r="C294" s="4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46"/>
      <c r="C295" s="4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46"/>
      <c r="C296" s="4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46"/>
      <c r="C297" s="4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46"/>
      <c r="C298" s="4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46"/>
      <c r="C299" s="4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46"/>
      <c r="C300" s="4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46"/>
      <c r="C301" s="4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46"/>
      <c r="C302" s="4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46"/>
      <c r="C303" s="4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46"/>
      <c r="C304" s="4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46"/>
      <c r="C305" s="4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46"/>
      <c r="C306" s="4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46"/>
      <c r="C307" s="4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46"/>
      <c r="C308" s="4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46"/>
      <c r="C309" s="4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46"/>
      <c r="C310" s="4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46"/>
      <c r="C311" s="4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46"/>
      <c r="C312" s="4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46"/>
      <c r="C313" s="4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46"/>
      <c r="C314" s="4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46"/>
      <c r="C315" s="4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46"/>
      <c r="C316" s="4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46"/>
      <c r="C317" s="4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46"/>
      <c r="C318" s="4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46"/>
      <c r="C319" s="4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46"/>
      <c r="C320" s="4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46"/>
      <c r="C321" s="4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46"/>
      <c r="C322" s="4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46"/>
      <c r="C323" s="4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46"/>
      <c r="C324" s="4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46"/>
      <c r="C325" s="4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46"/>
      <c r="C326" s="4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46"/>
      <c r="C327" s="4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46"/>
      <c r="C328" s="4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46"/>
      <c r="C329" s="4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46"/>
      <c r="C330" s="4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46"/>
      <c r="C331" s="4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46"/>
      <c r="C332" s="4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46"/>
      <c r="C333" s="4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46"/>
      <c r="C334" s="4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46"/>
      <c r="C335" s="4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46"/>
      <c r="C336" s="4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46"/>
      <c r="C337" s="4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46"/>
      <c r="C338" s="4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46"/>
      <c r="C339" s="4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46"/>
      <c r="C340" s="4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46"/>
      <c r="C341" s="4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46"/>
      <c r="C342" s="4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46"/>
      <c r="C343" s="4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46"/>
      <c r="C344" s="4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46"/>
      <c r="C345" s="4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46"/>
      <c r="C346" s="4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46"/>
      <c r="C347" s="4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46"/>
      <c r="C348" s="4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46"/>
      <c r="C349" s="4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46"/>
      <c r="C350" s="4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46"/>
      <c r="C351" s="4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46"/>
      <c r="C352" s="4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46"/>
      <c r="C353" s="4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46"/>
      <c r="C354" s="4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46"/>
      <c r="C355" s="4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46"/>
      <c r="C356" s="4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46"/>
      <c r="C357" s="4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46"/>
      <c r="C358" s="4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46"/>
      <c r="C359" s="4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46"/>
      <c r="C360" s="4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46"/>
      <c r="C361" s="4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46"/>
      <c r="C362" s="4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46"/>
      <c r="C363" s="4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46"/>
      <c r="C364" s="4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46"/>
      <c r="C365" s="4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46"/>
      <c r="C366" s="4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46"/>
      <c r="C367" s="4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46"/>
      <c r="C368" s="4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46"/>
      <c r="C369" s="4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46"/>
      <c r="C370" s="4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46"/>
      <c r="C371" s="4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46"/>
      <c r="C372" s="4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46"/>
      <c r="C373" s="4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46"/>
      <c r="C374" s="4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46"/>
      <c r="C375" s="4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46"/>
      <c r="C376" s="4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46"/>
      <c r="C377" s="4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46"/>
      <c r="C378" s="4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46"/>
      <c r="C379" s="4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46"/>
      <c r="C380" s="4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46"/>
      <c r="C381" s="4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46"/>
      <c r="C382" s="4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46"/>
      <c r="C383" s="4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46"/>
      <c r="C384" s="4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46"/>
      <c r="C385" s="4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46"/>
      <c r="C386" s="4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46"/>
      <c r="C387" s="4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46"/>
      <c r="C388" s="4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46"/>
      <c r="C389" s="4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46"/>
      <c r="C390" s="4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46"/>
      <c r="C391" s="4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46"/>
      <c r="C392" s="4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46"/>
      <c r="C393" s="4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46"/>
      <c r="C394" s="4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46"/>
      <c r="C395" s="4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46"/>
      <c r="C396" s="4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46"/>
      <c r="C397" s="4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46"/>
      <c r="C398" s="4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46"/>
      <c r="C399" s="4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46"/>
      <c r="C400" s="4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46"/>
      <c r="C401" s="4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46"/>
      <c r="C402" s="4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46"/>
      <c r="C403" s="4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46"/>
      <c r="C404" s="4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46"/>
      <c r="C405" s="4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46"/>
      <c r="C406" s="4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46"/>
      <c r="C407" s="4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46"/>
      <c r="C408" s="4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46"/>
      <c r="C409" s="4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46"/>
      <c r="C410" s="4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46"/>
      <c r="C411" s="4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46"/>
      <c r="C412" s="4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46"/>
      <c r="C413" s="4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46"/>
      <c r="C414" s="4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46"/>
      <c r="C415" s="4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46"/>
      <c r="C416" s="4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46"/>
      <c r="C417" s="4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46"/>
      <c r="C418" s="4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46"/>
      <c r="C419" s="4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46"/>
      <c r="C420" s="4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46"/>
      <c r="C421" s="4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46"/>
      <c r="C422" s="4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46"/>
      <c r="C423" s="4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46"/>
      <c r="C424" s="4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46"/>
      <c r="C425" s="4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46"/>
      <c r="C426" s="4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46"/>
      <c r="C427" s="4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46"/>
      <c r="C428" s="4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46"/>
      <c r="C429" s="4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46"/>
      <c r="C430" s="4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46"/>
      <c r="C431" s="4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46"/>
      <c r="C432" s="4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46"/>
      <c r="C433" s="4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46"/>
      <c r="C434" s="4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46"/>
      <c r="C435" s="4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46"/>
      <c r="C436" s="4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46"/>
      <c r="C437" s="4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46"/>
      <c r="C438" s="4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46"/>
      <c r="C439" s="4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46"/>
      <c r="C440" s="4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46"/>
      <c r="C441" s="4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46"/>
      <c r="C442" s="4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46"/>
      <c r="C443" s="4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46"/>
      <c r="C444" s="4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46"/>
      <c r="C445" s="4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46"/>
      <c r="C446" s="4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46"/>
      <c r="C447" s="4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46"/>
      <c r="C448" s="4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46"/>
      <c r="C449" s="4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46"/>
      <c r="C450" s="4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46"/>
      <c r="C451" s="4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46"/>
      <c r="C452" s="4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46"/>
      <c r="C453" s="4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46"/>
      <c r="C454" s="4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46"/>
      <c r="C455" s="4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46"/>
      <c r="C456" s="4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46"/>
      <c r="C457" s="4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46"/>
      <c r="C458" s="4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46"/>
      <c r="C459" s="4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46"/>
      <c r="C460" s="4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46"/>
      <c r="C461" s="4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46"/>
      <c r="C462" s="4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46"/>
      <c r="C463" s="4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46"/>
      <c r="C464" s="4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46"/>
      <c r="C465" s="4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46"/>
      <c r="C466" s="4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46"/>
      <c r="C467" s="4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46"/>
      <c r="C468" s="4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46"/>
      <c r="C469" s="4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46"/>
      <c r="C470" s="4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46"/>
      <c r="C471" s="4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46"/>
      <c r="C472" s="4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46"/>
      <c r="C473" s="4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46"/>
      <c r="C474" s="4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46"/>
      <c r="C475" s="4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46"/>
      <c r="C476" s="4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46"/>
      <c r="C477" s="4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46"/>
      <c r="C478" s="4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46"/>
      <c r="C479" s="4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46"/>
      <c r="C480" s="4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46"/>
      <c r="C481" s="4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46"/>
      <c r="C482" s="4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46"/>
      <c r="C483" s="4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46"/>
      <c r="C484" s="4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46"/>
      <c r="C485" s="4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46"/>
      <c r="C486" s="4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46"/>
      <c r="C487" s="4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46"/>
      <c r="C488" s="4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46"/>
      <c r="C489" s="4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46"/>
      <c r="C490" s="4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46"/>
      <c r="C491" s="4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46"/>
      <c r="C492" s="4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46"/>
      <c r="C493" s="4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46"/>
      <c r="C494" s="4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46"/>
      <c r="C495" s="4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46"/>
      <c r="C496" s="4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46"/>
      <c r="C497" s="4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46"/>
      <c r="C498" s="4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46"/>
      <c r="C499" s="4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46"/>
      <c r="C500" s="4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46"/>
      <c r="C501" s="4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46"/>
      <c r="C502" s="4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46"/>
      <c r="C503" s="4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46"/>
      <c r="C504" s="4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46"/>
      <c r="C505" s="4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46"/>
      <c r="C506" s="4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46"/>
      <c r="C507" s="4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46"/>
      <c r="C508" s="4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46"/>
      <c r="C509" s="4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46"/>
      <c r="C510" s="4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46"/>
      <c r="C511" s="4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46"/>
      <c r="C512" s="4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46"/>
      <c r="C513" s="4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46"/>
      <c r="C514" s="4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46"/>
      <c r="C515" s="4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46"/>
      <c r="C516" s="4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46"/>
      <c r="C517" s="4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46"/>
      <c r="C518" s="4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46"/>
      <c r="C519" s="4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46"/>
      <c r="C520" s="4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46"/>
      <c r="C521" s="4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46"/>
      <c r="C522" s="4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46"/>
      <c r="C523" s="4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46"/>
      <c r="C524" s="4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46"/>
      <c r="C525" s="4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46"/>
      <c r="C526" s="4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46"/>
      <c r="C527" s="4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46"/>
      <c r="C528" s="4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46"/>
      <c r="C529" s="4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46"/>
      <c r="C530" s="4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46"/>
      <c r="C531" s="4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46"/>
      <c r="C532" s="4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46"/>
      <c r="C533" s="4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46"/>
      <c r="C534" s="4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46"/>
      <c r="C535" s="4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46"/>
      <c r="C536" s="4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46"/>
      <c r="C537" s="4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46"/>
      <c r="C538" s="4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46"/>
      <c r="C539" s="4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46"/>
      <c r="C540" s="4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46"/>
      <c r="C541" s="4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46"/>
      <c r="C542" s="4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46"/>
      <c r="C543" s="4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46"/>
      <c r="C544" s="4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46"/>
      <c r="C545" s="4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46"/>
      <c r="C546" s="4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46"/>
      <c r="C547" s="4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46"/>
      <c r="C548" s="4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46"/>
      <c r="C549" s="4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46"/>
      <c r="C550" s="4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46"/>
      <c r="C551" s="4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46"/>
      <c r="C552" s="4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46"/>
      <c r="C553" s="4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46"/>
      <c r="C554" s="4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46"/>
      <c r="C555" s="4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46"/>
      <c r="C556" s="4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46"/>
      <c r="C557" s="4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46"/>
      <c r="C558" s="4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46"/>
      <c r="C559" s="4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46"/>
      <c r="C560" s="4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46"/>
      <c r="C561" s="4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46"/>
      <c r="C562" s="4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46"/>
      <c r="C563" s="4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46"/>
      <c r="C564" s="4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46"/>
      <c r="C565" s="4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46"/>
      <c r="C566" s="4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46"/>
      <c r="C567" s="4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46"/>
      <c r="C568" s="4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46"/>
      <c r="C569" s="4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46"/>
      <c r="C570" s="4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46"/>
      <c r="C571" s="4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46"/>
      <c r="C572" s="4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46"/>
      <c r="C573" s="4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46"/>
      <c r="C574" s="4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46"/>
      <c r="C575" s="4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46"/>
      <c r="C576" s="4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46"/>
      <c r="C577" s="4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46"/>
      <c r="C578" s="4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46"/>
      <c r="C579" s="4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46"/>
      <c r="C580" s="4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46"/>
      <c r="C581" s="4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46"/>
      <c r="C582" s="4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46"/>
      <c r="C583" s="4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46"/>
      <c r="C584" s="4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46"/>
      <c r="C585" s="4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46"/>
      <c r="C586" s="4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46"/>
      <c r="C587" s="4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46"/>
      <c r="C588" s="4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46"/>
      <c r="C589" s="4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46"/>
      <c r="C590" s="4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46"/>
      <c r="C591" s="4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46"/>
      <c r="C592" s="4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46"/>
      <c r="C593" s="4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46"/>
      <c r="C594" s="4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46"/>
      <c r="C595" s="4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46"/>
      <c r="C596" s="4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46"/>
      <c r="C597" s="4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46"/>
      <c r="C598" s="4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46"/>
      <c r="C599" s="4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46"/>
      <c r="C600" s="4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46"/>
      <c r="C601" s="4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46"/>
      <c r="C602" s="4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46"/>
      <c r="C603" s="4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46"/>
      <c r="C604" s="4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46"/>
      <c r="C605" s="4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46"/>
      <c r="C606" s="4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46"/>
      <c r="C607" s="4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46"/>
      <c r="C608" s="4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46"/>
      <c r="C609" s="4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46"/>
      <c r="C610" s="4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46"/>
      <c r="C611" s="4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46"/>
      <c r="C612" s="4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46"/>
      <c r="C613" s="4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46"/>
      <c r="C614" s="4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46"/>
      <c r="C615" s="4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46"/>
      <c r="C616" s="4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46"/>
      <c r="C617" s="4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46"/>
      <c r="C618" s="4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46"/>
      <c r="C619" s="4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46"/>
      <c r="C620" s="4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46"/>
      <c r="C621" s="4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46"/>
      <c r="C622" s="4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46"/>
      <c r="C623" s="4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46"/>
      <c r="C624" s="4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46"/>
      <c r="C625" s="4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46"/>
      <c r="C626" s="4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46"/>
      <c r="C627" s="4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46"/>
      <c r="C628" s="4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46"/>
      <c r="C629" s="4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46"/>
      <c r="C630" s="4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46"/>
      <c r="C631" s="4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46"/>
      <c r="C632" s="4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46"/>
      <c r="C633" s="4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46"/>
      <c r="C634" s="4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46"/>
      <c r="C635" s="4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46"/>
      <c r="C636" s="4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46"/>
      <c r="C637" s="4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46"/>
      <c r="C638" s="4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46"/>
      <c r="C639" s="4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46"/>
      <c r="C640" s="4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46"/>
      <c r="C641" s="4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46"/>
      <c r="C642" s="4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46"/>
      <c r="C643" s="4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46"/>
      <c r="C644" s="4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46"/>
      <c r="C645" s="4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46"/>
      <c r="C646" s="4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46"/>
      <c r="C647" s="4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46"/>
      <c r="C648" s="4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46"/>
      <c r="C649" s="4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46"/>
      <c r="C650" s="4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46"/>
      <c r="C651" s="4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46"/>
      <c r="C652" s="4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46"/>
      <c r="C653" s="4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46"/>
      <c r="C654" s="4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46"/>
      <c r="C655" s="4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46"/>
      <c r="C656" s="4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46"/>
      <c r="C657" s="4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46"/>
      <c r="C658" s="4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46"/>
      <c r="C659" s="4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46"/>
      <c r="C660" s="4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46"/>
      <c r="C661" s="4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46"/>
      <c r="C662" s="4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46"/>
      <c r="C663" s="4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46"/>
      <c r="C664" s="4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46"/>
      <c r="C665" s="4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46"/>
      <c r="C666" s="4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46"/>
      <c r="C667" s="4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46"/>
      <c r="C668" s="4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46"/>
      <c r="C669" s="4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46"/>
      <c r="C670" s="4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46"/>
      <c r="C671" s="4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46"/>
      <c r="C672" s="4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46"/>
      <c r="C673" s="4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46"/>
      <c r="C674" s="4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46"/>
      <c r="C675" s="4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46"/>
      <c r="C676" s="4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46"/>
      <c r="C677" s="4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46"/>
      <c r="C678" s="4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46"/>
      <c r="C679" s="4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46"/>
      <c r="C680" s="4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46"/>
      <c r="C681" s="4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46"/>
      <c r="C682" s="4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46"/>
      <c r="C683" s="4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46"/>
      <c r="C684" s="4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46"/>
      <c r="C685" s="4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46"/>
      <c r="C686" s="4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46"/>
      <c r="C687" s="4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46"/>
      <c r="C688" s="4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46"/>
      <c r="C689" s="4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46"/>
      <c r="C690" s="4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46"/>
      <c r="C691" s="4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46"/>
      <c r="C692" s="4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46"/>
      <c r="C693" s="4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46"/>
      <c r="C694" s="4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46"/>
      <c r="C695" s="4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46"/>
      <c r="C696" s="4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46"/>
      <c r="C697" s="4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46"/>
      <c r="C698" s="4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46"/>
      <c r="C699" s="4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46"/>
      <c r="C700" s="4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46"/>
      <c r="C701" s="4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46"/>
      <c r="C702" s="4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46"/>
      <c r="C703" s="4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46"/>
      <c r="C704" s="4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46"/>
      <c r="C705" s="4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46"/>
      <c r="C706" s="4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46"/>
      <c r="C707" s="4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46"/>
      <c r="C708" s="4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46"/>
      <c r="C709" s="4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46"/>
      <c r="C710" s="4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46"/>
      <c r="C711" s="4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46"/>
      <c r="C712" s="4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46"/>
      <c r="C713" s="4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46"/>
      <c r="C714" s="4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46"/>
      <c r="C715" s="4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46"/>
      <c r="C716" s="4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46"/>
      <c r="C717" s="4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46"/>
      <c r="C718" s="4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46"/>
      <c r="C719" s="4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46"/>
      <c r="C720" s="4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46"/>
      <c r="C721" s="4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46"/>
      <c r="C722" s="4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46"/>
      <c r="C723" s="4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46"/>
      <c r="C724" s="4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46"/>
      <c r="C725" s="4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46"/>
      <c r="C726" s="4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46"/>
      <c r="C727" s="4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46"/>
      <c r="C728" s="4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46"/>
      <c r="C729" s="4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46"/>
      <c r="C730" s="4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46"/>
      <c r="C731" s="4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46"/>
      <c r="C732" s="4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46"/>
      <c r="C733" s="4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46"/>
      <c r="C734" s="4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46"/>
      <c r="C735" s="4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46"/>
      <c r="C736" s="4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46"/>
      <c r="C737" s="4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46"/>
      <c r="C738" s="4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46"/>
      <c r="C739" s="4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46"/>
      <c r="C740" s="4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46"/>
      <c r="C741" s="4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46"/>
      <c r="C742" s="4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46"/>
      <c r="C743" s="4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46"/>
      <c r="C744" s="4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46"/>
      <c r="C745" s="4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46"/>
      <c r="C746" s="4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46"/>
      <c r="C747" s="4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46"/>
      <c r="C748" s="4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46"/>
      <c r="C749" s="4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46"/>
      <c r="C750" s="4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46"/>
      <c r="C751" s="4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46"/>
      <c r="C752" s="4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46"/>
      <c r="C753" s="4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46"/>
      <c r="C754" s="4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46"/>
      <c r="C755" s="4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46"/>
      <c r="C756" s="4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46"/>
      <c r="C757" s="4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46"/>
      <c r="C758" s="4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46"/>
      <c r="C759" s="4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46"/>
      <c r="C760" s="4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46"/>
      <c r="C761" s="4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46"/>
      <c r="C762" s="4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46"/>
      <c r="C763" s="4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46"/>
      <c r="C764" s="4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46"/>
      <c r="C765" s="4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46"/>
      <c r="C766" s="4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46"/>
      <c r="C767" s="4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46"/>
      <c r="C768" s="4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46"/>
      <c r="C769" s="4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46"/>
      <c r="C770" s="4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46"/>
      <c r="C771" s="4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46"/>
      <c r="C772" s="4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46"/>
      <c r="C773" s="4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46"/>
      <c r="C774" s="4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46"/>
      <c r="C775" s="4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46"/>
      <c r="C776" s="4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46"/>
      <c r="C777" s="4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46"/>
      <c r="C778" s="4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46"/>
      <c r="C779" s="4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46"/>
      <c r="C780" s="4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46"/>
      <c r="C781" s="4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46"/>
      <c r="C782" s="4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46"/>
      <c r="C783" s="4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46"/>
      <c r="C784" s="4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46"/>
      <c r="C785" s="4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46"/>
      <c r="C786" s="4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46"/>
      <c r="C787" s="4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46"/>
      <c r="C788" s="4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46"/>
      <c r="C789" s="4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46"/>
      <c r="C790" s="4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46"/>
      <c r="C791" s="4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46"/>
      <c r="C792" s="4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46"/>
      <c r="C793" s="4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46"/>
      <c r="C794" s="4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46"/>
      <c r="C795" s="4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46"/>
      <c r="C796" s="4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46"/>
      <c r="C797" s="4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46"/>
      <c r="C798" s="4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46"/>
      <c r="C799" s="4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46"/>
      <c r="C800" s="4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46"/>
      <c r="C801" s="4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46"/>
      <c r="C802" s="4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46"/>
      <c r="C803" s="4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46"/>
      <c r="C804" s="4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46"/>
      <c r="C805" s="4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46"/>
      <c r="C806" s="4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46"/>
      <c r="C807" s="4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46"/>
      <c r="C808" s="4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46"/>
      <c r="C809" s="4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46"/>
      <c r="C810" s="4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46"/>
      <c r="C811" s="4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46"/>
      <c r="C812" s="4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46"/>
      <c r="C813" s="4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46"/>
      <c r="C814" s="4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46"/>
      <c r="C815" s="4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46"/>
      <c r="C816" s="4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46"/>
      <c r="C817" s="4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46"/>
      <c r="C818" s="4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46"/>
      <c r="C819" s="4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46"/>
      <c r="C820" s="4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46"/>
      <c r="C821" s="4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46"/>
      <c r="C822" s="4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46"/>
      <c r="C823" s="4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46"/>
      <c r="C824" s="4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46"/>
      <c r="C825" s="4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46"/>
      <c r="C826" s="4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46"/>
      <c r="C827" s="4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46"/>
      <c r="C828" s="4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46"/>
      <c r="C829" s="4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46"/>
      <c r="C830" s="4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46"/>
      <c r="C831" s="4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46"/>
      <c r="C832" s="4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46"/>
      <c r="C833" s="4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46"/>
      <c r="C834" s="4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46"/>
      <c r="C835" s="4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46"/>
      <c r="C836" s="4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46"/>
      <c r="C837" s="4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46"/>
      <c r="C838" s="4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46"/>
      <c r="C839" s="4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46"/>
      <c r="C840" s="4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46"/>
      <c r="C841" s="4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46"/>
      <c r="C842" s="4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46"/>
      <c r="C843" s="4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46"/>
      <c r="C844" s="4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46"/>
      <c r="C845" s="4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46"/>
      <c r="C846" s="4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46"/>
      <c r="C847" s="4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46"/>
      <c r="C848" s="4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46"/>
      <c r="C849" s="4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46"/>
      <c r="C850" s="4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46"/>
      <c r="C851" s="4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46"/>
      <c r="C852" s="4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46"/>
      <c r="C853" s="4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46"/>
      <c r="C854" s="4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46"/>
      <c r="C855" s="4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46"/>
      <c r="C856" s="4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46"/>
      <c r="C857" s="4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46"/>
      <c r="C858" s="4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46"/>
      <c r="C859" s="4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46"/>
      <c r="C860" s="4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46"/>
      <c r="C861" s="4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46"/>
      <c r="C862" s="4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46"/>
      <c r="C863" s="4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46"/>
      <c r="C864" s="4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46"/>
      <c r="C865" s="4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46"/>
      <c r="C866" s="4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46"/>
      <c r="C867" s="4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46"/>
      <c r="C868" s="4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46"/>
      <c r="C869" s="4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46"/>
      <c r="C870" s="4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46"/>
      <c r="C871" s="4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46"/>
      <c r="C872" s="4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46"/>
      <c r="C873" s="4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46"/>
      <c r="C874" s="4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46"/>
      <c r="C875" s="4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46"/>
      <c r="C876" s="4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46"/>
      <c r="C877" s="4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46"/>
      <c r="C878" s="4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46"/>
      <c r="C879" s="4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46"/>
      <c r="C880" s="4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46"/>
      <c r="C881" s="4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46"/>
      <c r="C882" s="4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46"/>
      <c r="C883" s="4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46"/>
      <c r="C884" s="4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46"/>
      <c r="C885" s="4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46"/>
      <c r="C886" s="4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46"/>
      <c r="C887" s="4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46"/>
      <c r="C888" s="4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46"/>
      <c r="C889" s="4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46"/>
      <c r="C890" s="4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46"/>
      <c r="C891" s="4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46"/>
      <c r="C892" s="4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46"/>
      <c r="C893" s="4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46"/>
      <c r="C894" s="4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46"/>
      <c r="C895" s="4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46"/>
      <c r="C896" s="4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46"/>
      <c r="C897" s="4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46"/>
      <c r="C898" s="4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46"/>
      <c r="C899" s="4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46"/>
      <c r="C900" s="4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46"/>
      <c r="C901" s="4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46"/>
      <c r="C902" s="4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46"/>
      <c r="C903" s="4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46"/>
      <c r="C904" s="4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46"/>
      <c r="C905" s="4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46"/>
      <c r="C906" s="4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46"/>
      <c r="C907" s="4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46"/>
      <c r="C908" s="4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46"/>
      <c r="C909" s="4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46"/>
      <c r="C910" s="4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46"/>
      <c r="C911" s="4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46"/>
      <c r="C912" s="4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46"/>
      <c r="C913" s="4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46"/>
      <c r="C914" s="4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46"/>
      <c r="C915" s="4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46"/>
      <c r="C916" s="4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46"/>
      <c r="C917" s="4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46"/>
      <c r="C918" s="4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46"/>
      <c r="C919" s="4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46"/>
      <c r="C920" s="4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46"/>
      <c r="C921" s="4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46"/>
      <c r="C922" s="4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46"/>
      <c r="C923" s="4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46"/>
      <c r="C924" s="4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46"/>
      <c r="C925" s="4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46"/>
      <c r="C926" s="4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46"/>
      <c r="C927" s="4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46"/>
      <c r="C928" s="4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46"/>
      <c r="C929" s="4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46"/>
      <c r="C930" s="4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46"/>
      <c r="C931" s="4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46"/>
      <c r="C932" s="4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46"/>
      <c r="C933" s="4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46"/>
      <c r="C934" s="4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46"/>
      <c r="C935" s="4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46"/>
      <c r="C936" s="4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46"/>
      <c r="C937" s="4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46"/>
      <c r="C938" s="4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46"/>
      <c r="C939" s="4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46"/>
      <c r="C940" s="4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46"/>
      <c r="C941" s="4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46"/>
      <c r="C942" s="4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46"/>
      <c r="C943" s="4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46"/>
      <c r="C944" s="4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46"/>
      <c r="C945" s="4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46"/>
      <c r="C946" s="4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46"/>
      <c r="C947" s="4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46"/>
      <c r="C948" s="4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46"/>
      <c r="C949" s="4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46"/>
      <c r="C950" s="4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46"/>
      <c r="C951" s="4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46"/>
      <c r="C952" s="4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46"/>
      <c r="C953" s="4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46"/>
      <c r="C954" s="4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46"/>
      <c r="C955" s="4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46"/>
      <c r="C956" s="4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46"/>
      <c r="C957" s="4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46"/>
      <c r="C958" s="4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46"/>
      <c r="C959" s="4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46"/>
      <c r="C960" s="4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46"/>
      <c r="C961" s="4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46"/>
      <c r="C962" s="4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46"/>
      <c r="C963" s="4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46"/>
      <c r="C964" s="4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46"/>
      <c r="C965" s="4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46"/>
      <c r="C966" s="4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46"/>
      <c r="C967" s="4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46"/>
      <c r="C968" s="4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46"/>
      <c r="C969" s="4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46"/>
      <c r="C970" s="4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46"/>
      <c r="C971" s="4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46"/>
      <c r="C972" s="4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46"/>
      <c r="C973" s="4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46"/>
      <c r="C974" s="4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46"/>
      <c r="C975" s="4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46"/>
      <c r="C976" s="4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46"/>
      <c r="C977" s="4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46"/>
      <c r="C978" s="4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46"/>
      <c r="C979" s="4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46"/>
      <c r="C980" s="4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46"/>
      <c r="C981" s="4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46"/>
      <c r="C982" s="4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46"/>
      <c r="C983" s="4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46"/>
      <c r="C984" s="4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46"/>
      <c r="C985" s="4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46"/>
      <c r="C986" s="4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46"/>
      <c r="C987" s="4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46"/>
      <c r="C988" s="4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46"/>
      <c r="C989" s="4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46"/>
      <c r="C990" s="4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46"/>
      <c r="C991" s="4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46"/>
      <c r="C992" s="4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46"/>
      <c r="C993" s="4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46"/>
      <c r="C994" s="4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46"/>
      <c r="C995" s="4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46"/>
      <c r="C996" s="4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46"/>
      <c r="C997" s="4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46"/>
      <c r="C998" s="4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46"/>
      <c r="C999" s="4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46"/>
      <c r="C1000" s="4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46"/>
      <c r="C1001" s="4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</sheetData>
  <conditionalFormatting sqref="B1 B3:B1001">
    <cfRule type="expression" dxfId="1" priority="1">
      <formula>$A1="M"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0"/>
    <col customWidth="1" min="2" max="2" width="11.13"/>
    <col customWidth="1" min="3" max="3" width="20.63"/>
  </cols>
  <sheetData>
    <row r="1">
      <c r="A1" s="34" t="s">
        <v>306</v>
      </c>
      <c r="B1" s="40"/>
      <c r="C1" s="26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5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5"/>
    </row>
    <row r="4">
      <c r="A4" s="6" t="s">
        <v>46</v>
      </c>
      <c r="B4" s="6" t="s">
        <v>307</v>
      </c>
      <c r="C4" s="6" t="s">
        <v>308</v>
      </c>
      <c r="D4" s="6" t="s">
        <v>309</v>
      </c>
      <c r="E4" s="6" t="s">
        <v>310</v>
      </c>
      <c r="F4" s="30" t="s">
        <v>311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6"/>
      <c r="B5" s="6" t="s">
        <v>312</v>
      </c>
      <c r="C5" s="6" t="s">
        <v>313</v>
      </c>
      <c r="D5" s="6" t="s">
        <v>314</v>
      </c>
      <c r="E5" s="6" t="s">
        <v>315</v>
      </c>
      <c r="F5" s="30" t="s">
        <v>316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6" t="s">
        <v>46</v>
      </c>
      <c r="B6" s="6" t="s">
        <v>317</v>
      </c>
      <c r="C6" s="6" t="s">
        <v>318</v>
      </c>
      <c r="D6" s="6" t="s">
        <v>319</v>
      </c>
      <c r="E6" s="6" t="s">
        <v>320</v>
      </c>
      <c r="F6" s="30" t="s">
        <v>317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6"/>
      <c r="B7" s="6" t="s">
        <v>321</v>
      </c>
      <c r="C7" s="6" t="s">
        <v>322</v>
      </c>
      <c r="D7" s="6" t="s">
        <v>323</v>
      </c>
      <c r="E7" s="36" t="s">
        <v>324</v>
      </c>
      <c r="F7" s="30" t="s">
        <v>325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6" t="s">
        <v>46</v>
      </c>
      <c r="B8" s="6" t="s">
        <v>326</v>
      </c>
      <c r="C8" s="6" t="s">
        <v>327</v>
      </c>
      <c r="D8" s="6" t="s">
        <v>328</v>
      </c>
      <c r="E8" s="6" t="s">
        <v>329</v>
      </c>
      <c r="F8" s="30" t="s">
        <v>330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6"/>
      <c r="B9" s="6" t="s">
        <v>331</v>
      </c>
      <c r="C9" s="6" t="s">
        <v>332</v>
      </c>
      <c r="D9" s="6" t="s">
        <v>333</v>
      </c>
      <c r="E9" s="6" t="s">
        <v>334</v>
      </c>
      <c r="F9" s="30" t="s">
        <v>335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6" t="s">
        <v>46</v>
      </c>
      <c r="B10" s="6" t="s">
        <v>336</v>
      </c>
      <c r="C10" s="6" t="s">
        <v>337</v>
      </c>
      <c r="D10" s="6" t="s">
        <v>338</v>
      </c>
      <c r="E10" s="6" t="s">
        <v>339</v>
      </c>
      <c r="F10" s="30" t="s">
        <v>340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6"/>
      <c r="B11" s="6" t="s">
        <v>341</v>
      </c>
      <c r="C11" s="6" t="s">
        <v>342</v>
      </c>
      <c r="D11" s="6" t="s">
        <v>343</v>
      </c>
      <c r="E11" s="6" t="s">
        <v>344</v>
      </c>
      <c r="F11" s="30" t="s">
        <v>345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6" t="s">
        <v>46</v>
      </c>
      <c r="B12" s="6" t="s">
        <v>346</v>
      </c>
      <c r="C12" s="6" t="s">
        <v>347</v>
      </c>
      <c r="D12" s="6" t="s">
        <v>348</v>
      </c>
      <c r="E12" s="36" t="s">
        <v>349</v>
      </c>
      <c r="F12" s="30" t="s">
        <v>346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6"/>
      <c r="B13" s="6" t="s">
        <v>350</v>
      </c>
      <c r="C13" s="6" t="s">
        <v>351</v>
      </c>
      <c r="D13" s="6" t="s">
        <v>352</v>
      </c>
      <c r="E13" s="6" t="s">
        <v>353</v>
      </c>
      <c r="F13" s="30" t="s">
        <v>354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6" t="s">
        <v>46</v>
      </c>
      <c r="B14" s="6" t="s">
        <v>355</v>
      </c>
      <c r="C14" s="6" t="s">
        <v>356</v>
      </c>
      <c r="D14" s="6" t="s">
        <v>357</v>
      </c>
      <c r="E14" s="6" t="s">
        <v>358</v>
      </c>
      <c r="F14" s="30" t="s">
        <v>359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6"/>
      <c r="B15" s="6" t="s">
        <v>360</v>
      </c>
      <c r="C15" s="6" t="s">
        <v>361</v>
      </c>
      <c r="D15" s="6" t="s">
        <v>362</v>
      </c>
      <c r="E15" s="6" t="s">
        <v>363</v>
      </c>
      <c r="F15" s="30" t="s">
        <v>364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6" t="s">
        <v>46</v>
      </c>
      <c r="B16" s="6" t="s">
        <v>365</v>
      </c>
      <c r="C16" s="6" t="s">
        <v>366</v>
      </c>
      <c r="D16" s="6" t="s">
        <v>367</v>
      </c>
      <c r="E16" s="6" t="s">
        <v>368</v>
      </c>
      <c r="F16" s="30" t="s">
        <v>369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6"/>
      <c r="B17" s="6" t="s">
        <v>370</v>
      </c>
      <c r="C17" s="6" t="s">
        <v>371</v>
      </c>
      <c r="D17" s="6" t="s">
        <v>372</v>
      </c>
      <c r="E17" s="6" t="s">
        <v>373</v>
      </c>
      <c r="F17" s="30" t="s">
        <v>374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6"/>
      <c r="B18" s="6" t="s">
        <v>375</v>
      </c>
      <c r="C18" s="6" t="s">
        <v>376</v>
      </c>
      <c r="D18" s="6" t="s">
        <v>377</v>
      </c>
      <c r="E18" s="6" t="s">
        <v>378</v>
      </c>
      <c r="F18" s="30" t="s">
        <v>375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6"/>
      <c r="B19" s="6" t="s">
        <v>379</v>
      </c>
      <c r="C19" s="6" t="s">
        <v>380</v>
      </c>
      <c r="D19" s="6" t="s">
        <v>381</v>
      </c>
      <c r="E19" s="6" t="s">
        <v>382</v>
      </c>
      <c r="F19" s="30" t="s">
        <v>379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6"/>
      <c r="B20" s="6" t="s">
        <v>383</v>
      </c>
      <c r="C20" s="6" t="s">
        <v>384</v>
      </c>
      <c r="D20" s="6" t="s">
        <v>385</v>
      </c>
      <c r="E20" s="36" t="s">
        <v>386</v>
      </c>
      <c r="F20" s="30" t="s">
        <v>383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6"/>
      <c r="B21" s="6" t="s">
        <v>387</v>
      </c>
      <c r="C21" s="6" t="s">
        <v>388</v>
      </c>
      <c r="D21" s="6" t="s">
        <v>389</v>
      </c>
      <c r="E21" s="6" t="s">
        <v>390</v>
      </c>
      <c r="F21" s="30" t="s">
        <v>391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6"/>
      <c r="B22" s="6" t="s">
        <v>392</v>
      </c>
      <c r="C22" s="6" t="s">
        <v>393</v>
      </c>
      <c r="D22" s="6" t="s">
        <v>394</v>
      </c>
      <c r="E22" s="6" t="s">
        <v>395</v>
      </c>
      <c r="F22" s="30" t="s">
        <v>392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6"/>
      <c r="B23" s="6" t="s">
        <v>396</v>
      </c>
      <c r="C23" s="6" t="s">
        <v>397</v>
      </c>
      <c r="D23" s="6" t="s">
        <v>398</v>
      </c>
      <c r="E23" s="6" t="s">
        <v>399</v>
      </c>
      <c r="F23" s="30" t="s">
        <v>400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>
      <c r="A24" s="6"/>
      <c r="B24" s="6" t="s">
        <v>401</v>
      </c>
      <c r="C24" s="6" t="s">
        <v>402</v>
      </c>
      <c r="D24" s="6" t="s">
        <v>403</v>
      </c>
      <c r="E24" s="6" t="s">
        <v>404</v>
      </c>
      <c r="F24" s="30" t="s">
        <v>405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>
      <c r="A25" s="6"/>
      <c r="B25" s="6" t="s">
        <v>406</v>
      </c>
      <c r="C25" s="6" t="s">
        <v>407</v>
      </c>
      <c r="D25" s="6" t="s">
        <v>408</v>
      </c>
      <c r="E25" s="6" t="s">
        <v>409</v>
      </c>
      <c r="F25" s="30" t="s">
        <v>410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>
      <c r="A26" s="6"/>
      <c r="B26" s="6" t="s">
        <v>411</v>
      </c>
      <c r="C26" s="6" t="s">
        <v>412</v>
      </c>
      <c r="D26" s="6" t="s">
        <v>413</v>
      </c>
      <c r="E26" s="6" t="s">
        <v>414</v>
      </c>
      <c r="F26" s="30" t="s">
        <v>415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>
      <c r="A27" s="6"/>
      <c r="B27" s="6" t="s">
        <v>416</v>
      </c>
      <c r="C27" s="6" t="s">
        <v>417</v>
      </c>
      <c r="D27" s="6" t="s">
        <v>418</v>
      </c>
      <c r="E27" s="6" t="s">
        <v>419</v>
      </c>
      <c r="F27" s="30" t="s">
        <v>416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>
      <c r="A28" s="6"/>
      <c r="B28" s="6" t="s">
        <v>420</v>
      </c>
      <c r="C28" s="6" t="s">
        <v>421</v>
      </c>
      <c r="D28" s="6" t="s">
        <v>422</v>
      </c>
      <c r="E28" s="6" t="s">
        <v>423</v>
      </c>
      <c r="F28" s="30" t="s">
        <v>424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>
      <c r="A29" s="6"/>
      <c r="B29" s="6" t="s">
        <v>425</v>
      </c>
      <c r="C29" s="6" t="s">
        <v>426</v>
      </c>
      <c r="D29" s="6" t="s">
        <v>427</v>
      </c>
      <c r="E29" s="6" t="s">
        <v>428</v>
      </c>
      <c r="F29" s="30" t="s">
        <v>429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>
      <c r="A30" s="6"/>
      <c r="B30" s="6" t="s">
        <v>430</v>
      </c>
      <c r="C30" s="6" t="s">
        <v>431</v>
      </c>
      <c r="D30" s="6" t="s">
        <v>432</v>
      </c>
      <c r="E30" s="36" t="s">
        <v>433</v>
      </c>
      <c r="F30" s="30" t="s">
        <v>434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>
      <c r="A31" s="6"/>
      <c r="B31" s="6" t="s">
        <v>435</v>
      </c>
      <c r="C31" s="6" t="s">
        <v>436</v>
      </c>
      <c r="D31" s="6" t="s">
        <v>437</v>
      </c>
      <c r="E31" s="36" t="s">
        <v>438</v>
      </c>
      <c r="F31" s="30" t="s">
        <v>439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>
      <c r="A32" s="6"/>
      <c r="B32" s="6" t="s">
        <v>440</v>
      </c>
      <c r="C32" s="6" t="s">
        <v>441</v>
      </c>
      <c r="D32" s="6" t="s">
        <v>442</v>
      </c>
      <c r="E32" s="36" t="s">
        <v>443</v>
      </c>
      <c r="F32" s="30" t="s">
        <v>444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>
      <c r="A33" s="6"/>
      <c r="B33" s="6" t="s">
        <v>445</v>
      </c>
      <c r="C33" s="6" t="s">
        <v>446</v>
      </c>
      <c r="D33" s="6" t="s">
        <v>447</v>
      </c>
      <c r="E33" s="36" t="s">
        <v>448</v>
      </c>
      <c r="F33" s="30" t="s">
        <v>449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>
      <c r="A34" s="6"/>
      <c r="B34" s="6" t="s">
        <v>450</v>
      </c>
      <c r="C34" s="6" t="s">
        <v>451</v>
      </c>
      <c r="D34" s="6" t="s">
        <v>452</v>
      </c>
      <c r="E34" s="36" t="s">
        <v>453</v>
      </c>
      <c r="F34" s="30" t="s">
        <v>454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>
      <c r="A35" s="6"/>
      <c r="B35" s="6" t="s">
        <v>455</v>
      </c>
      <c r="C35" s="6" t="s">
        <v>456</v>
      </c>
      <c r="D35" s="6" t="s">
        <v>457</v>
      </c>
      <c r="E35" s="36" t="s">
        <v>458</v>
      </c>
      <c r="F35" s="30" t="s">
        <v>455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>
      <c r="A36" s="6"/>
      <c r="B36" s="6" t="s">
        <v>459</v>
      </c>
      <c r="C36" s="6" t="s">
        <v>460</v>
      </c>
      <c r="D36" s="6" t="s">
        <v>461</v>
      </c>
      <c r="E36" s="6" t="s">
        <v>462</v>
      </c>
      <c r="F36" s="30" t="s">
        <v>463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>
      <c r="A37" s="6"/>
      <c r="B37" s="6" t="s">
        <v>464</v>
      </c>
      <c r="C37" s="6" t="s">
        <v>465</v>
      </c>
      <c r="D37" s="6" t="s">
        <v>466</v>
      </c>
      <c r="E37" s="36" t="s">
        <v>462</v>
      </c>
      <c r="F37" s="30" t="s">
        <v>467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>
      <c r="A38" s="6"/>
      <c r="B38" s="6" t="s">
        <v>468</v>
      </c>
      <c r="C38" s="6" t="s">
        <v>465</v>
      </c>
      <c r="D38" s="6" t="s">
        <v>466</v>
      </c>
      <c r="E38" s="36" t="s">
        <v>469</v>
      </c>
      <c r="F38" s="30" t="s">
        <v>470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>
      <c r="A39" s="6"/>
      <c r="B39" s="6" t="s">
        <v>471</v>
      </c>
      <c r="C39" s="6" t="s">
        <v>472</v>
      </c>
      <c r="D39" s="6" t="s">
        <v>473</v>
      </c>
      <c r="E39" s="6" t="s">
        <v>474</v>
      </c>
      <c r="F39" s="30" t="s">
        <v>475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>
      <c r="A40" s="6"/>
      <c r="B40" s="6" t="s">
        <v>476</v>
      </c>
      <c r="C40" s="6" t="s">
        <v>477</v>
      </c>
      <c r="D40" s="6" t="s">
        <v>478</v>
      </c>
      <c r="E40" s="6" t="s">
        <v>479</v>
      </c>
      <c r="F40" s="30" t="s">
        <v>480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>
      <c r="A41" s="6"/>
      <c r="B41" s="6" t="s">
        <v>481</v>
      </c>
      <c r="C41" s="6" t="s">
        <v>482</v>
      </c>
      <c r="D41" s="6" t="s">
        <v>483</v>
      </c>
      <c r="E41" s="6" t="s">
        <v>484</v>
      </c>
      <c r="F41" s="30" t="s">
        <v>485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>
      <c r="A42" s="6"/>
      <c r="B42" s="6" t="s">
        <v>486</v>
      </c>
      <c r="C42" s="6" t="s">
        <v>487</v>
      </c>
      <c r="D42" s="6" t="s">
        <v>488</v>
      </c>
      <c r="E42" s="6" t="s">
        <v>489</v>
      </c>
      <c r="F42" s="30" t="s">
        <v>490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>
      <c r="A43" s="6"/>
      <c r="B43" s="6" t="s">
        <v>491</v>
      </c>
      <c r="C43" s="6" t="s">
        <v>492</v>
      </c>
      <c r="D43" s="6" t="s">
        <v>493</v>
      </c>
      <c r="E43" s="6" t="s">
        <v>494</v>
      </c>
      <c r="F43" s="30" t="s">
        <v>491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>
      <c r="A44" s="6"/>
      <c r="B44" s="6" t="s">
        <v>495</v>
      </c>
      <c r="C44" s="6" t="s">
        <v>496</v>
      </c>
      <c r="D44" s="6" t="s">
        <v>497</v>
      </c>
      <c r="E44" s="6" t="s">
        <v>498</v>
      </c>
      <c r="F44" s="30" t="s">
        <v>499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>
      <c r="A45" s="6"/>
      <c r="B45" s="6" t="s">
        <v>500</v>
      </c>
      <c r="C45" s="6" t="s">
        <v>501</v>
      </c>
      <c r="D45" s="6" t="s">
        <v>502</v>
      </c>
      <c r="E45" s="36" t="s">
        <v>503</v>
      </c>
      <c r="F45" s="30" t="s">
        <v>504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>
      <c r="A46" s="6"/>
      <c r="B46" s="6" t="s">
        <v>505</v>
      </c>
      <c r="C46" s="6" t="s">
        <v>506</v>
      </c>
      <c r="D46" s="6" t="s">
        <v>507</v>
      </c>
      <c r="E46" s="6" t="s">
        <v>508</v>
      </c>
      <c r="F46" s="30" t="s">
        <v>509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>
      <c r="A47" s="6"/>
      <c r="B47" s="6" t="s">
        <v>510</v>
      </c>
      <c r="C47" s="6" t="s">
        <v>511</v>
      </c>
      <c r="D47" s="6" t="s">
        <v>512</v>
      </c>
      <c r="E47" s="6" t="s">
        <v>513</v>
      </c>
      <c r="F47" s="30" t="s">
        <v>514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>
      <c r="A48" s="6"/>
      <c r="B48" s="6" t="s">
        <v>515</v>
      </c>
      <c r="C48" s="6" t="s">
        <v>516</v>
      </c>
      <c r="D48" s="6" t="s">
        <v>517</v>
      </c>
      <c r="E48" s="6" t="s">
        <v>518</v>
      </c>
      <c r="F48" s="30" t="s">
        <v>519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>
      <c r="A49" s="6"/>
      <c r="B49" s="6" t="s">
        <v>520</v>
      </c>
      <c r="C49" s="6" t="s">
        <v>521</v>
      </c>
      <c r="D49" s="6" t="s">
        <v>522</v>
      </c>
      <c r="E49" s="6" t="s">
        <v>523</v>
      </c>
      <c r="F49" s="30" t="s">
        <v>524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>
      <c r="A50" s="6"/>
      <c r="B50" s="6" t="s">
        <v>525</v>
      </c>
      <c r="C50" s="6" t="s">
        <v>526</v>
      </c>
      <c r="D50" s="6" t="s">
        <v>527</v>
      </c>
      <c r="E50" s="6" t="s">
        <v>528</v>
      </c>
      <c r="F50" s="30" t="s">
        <v>529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>
      <c r="A51" s="6"/>
      <c r="B51" s="6" t="s">
        <v>530</v>
      </c>
      <c r="C51" s="6" t="s">
        <v>531</v>
      </c>
      <c r="D51" s="6" t="s">
        <v>532</v>
      </c>
      <c r="E51" s="6" t="s">
        <v>533</v>
      </c>
      <c r="F51" s="30" t="s">
        <v>534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>
      <c r="A52" s="6"/>
      <c r="B52" s="6" t="s">
        <v>535</v>
      </c>
      <c r="C52" s="6" t="s">
        <v>536</v>
      </c>
      <c r="D52" s="6" t="s">
        <v>537</v>
      </c>
      <c r="E52" s="6" t="s">
        <v>538</v>
      </c>
      <c r="F52" s="30" t="s">
        <v>539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>
      <c r="A53" s="6"/>
      <c r="B53" s="6" t="s">
        <v>540</v>
      </c>
      <c r="C53" s="6" t="s">
        <v>541</v>
      </c>
      <c r="D53" s="6" t="s">
        <v>542</v>
      </c>
      <c r="E53" s="6" t="s">
        <v>543</v>
      </c>
      <c r="F53" s="30" t="s">
        <v>544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>
      <c r="A54" s="6"/>
      <c r="B54" s="6" t="s">
        <v>545</v>
      </c>
      <c r="C54" s="6" t="s">
        <v>546</v>
      </c>
      <c r="D54" s="6" t="s">
        <v>547</v>
      </c>
      <c r="E54" s="6" t="s">
        <v>548</v>
      </c>
      <c r="F54" s="30" t="s">
        <v>545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>
      <c r="A55" s="6"/>
      <c r="B55" s="6" t="s">
        <v>549</v>
      </c>
      <c r="C55" s="6" t="s">
        <v>550</v>
      </c>
      <c r="D55" s="6" t="s">
        <v>551</v>
      </c>
      <c r="E55" s="36" t="s">
        <v>552</v>
      </c>
      <c r="F55" s="30" t="s">
        <v>553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>
      <c r="A56" s="6"/>
      <c r="B56" s="6" t="s">
        <v>554</v>
      </c>
      <c r="C56" s="6" t="s">
        <v>555</v>
      </c>
      <c r="D56" s="6" t="s">
        <v>556</v>
      </c>
      <c r="E56" s="6" t="s">
        <v>557</v>
      </c>
      <c r="F56" s="30" t="s">
        <v>558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>
      <c r="A57" s="6"/>
      <c r="B57" s="6" t="s">
        <v>559</v>
      </c>
      <c r="C57" s="6" t="s">
        <v>560</v>
      </c>
      <c r="D57" s="6" t="s">
        <v>561</v>
      </c>
      <c r="E57" s="6" t="s">
        <v>562</v>
      </c>
      <c r="F57" s="30" t="s">
        <v>563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>
      <c r="A58" s="6"/>
      <c r="B58" s="6" t="s">
        <v>564</v>
      </c>
      <c r="C58" s="6" t="s">
        <v>565</v>
      </c>
      <c r="D58" s="6" t="s">
        <v>566</v>
      </c>
      <c r="E58" s="6" t="s">
        <v>567</v>
      </c>
      <c r="F58" s="30" t="s">
        <v>564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>
      <c r="A59" s="6"/>
      <c r="B59" s="6" t="s">
        <v>568</v>
      </c>
      <c r="C59" s="6" t="s">
        <v>569</v>
      </c>
      <c r="D59" s="6" t="s">
        <v>570</v>
      </c>
      <c r="E59" s="6" t="s">
        <v>571</v>
      </c>
      <c r="F59" s="30" t="s">
        <v>572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>
      <c r="A60" s="6"/>
      <c r="B60" s="6" t="s">
        <v>573</v>
      </c>
      <c r="C60" s="6" t="s">
        <v>574</v>
      </c>
      <c r="D60" s="6" t="s">
        <v>575</v>
      </c>
      <c r="E60" s="6" t="s">
        <v>576</v>
      </c>
      <c r="F60" s="30" t="s">
        <v>577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>
      <c r="A61" s="6"/>
      <c r="B61" s="6" t="s">
        <v>578</v>
      </c>
      <c r="C61" s="6" t="s">
        <v>579</v>
      </c>
      <c r="D61" s="6" t="s">
        <v>580</v>
      </c>
      <c r="E61" s="6" t="s">
        <v>581</v>
      </c>
      <c r="F61" s="30" t="s">
        <v>582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>
      <c r="A62" s="6"/>
      <c r="B62" s="6" t="s">
        <v>583</v>
      </c>
      <c r="C62" s="6" t="s">
        <v>584</v>
      </c>
      <c r="D62" s="6" t="s">
        <v>585</v>
      </c>
      <c r="E62" s="6" t="s">
        <v>586</v>
      </c>
      <c r="F62" s="30" t="s">
        <v>587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>
      <c r="A63" s="6"/>
      <c r="B63" s="6" t="s">
        <v>588</v>
      </c>
      <c r="C63" s="6" t="s">
        <v>589</v>
      </c>
      <c r="D63" s="6" t="s">
        <v>590</v>
      </c>
      <c r="E63" s="6" t="s">
        <v>591</v>
      </c>
      <c r="F63" s="30" t="s">
        <v>588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>
      <c r="A64" s="6"/>
      <c r="B64" s="5"/>
      <c r="C64" s="5"/>
      <c r="D64" s="6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>
      <c r="A65" s="6"/>
      <c r="B65" s="5"/>
      <c r="C65" s="5"/>
      <c r="D65" s="6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>
      <c r="A66" s="6"/>
      <c r="B66" s="5"/>
      <c r="C66" s="5"/>
      <c r="D66" s="6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>
      <c r="A67" s="6"/>
      <c r="B67" s="5"/>
      <c r="C67" s="5"/>
      <c r="D67" s="6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>
      <c r="A68" s="6"/>
      <c r="B68" s="5"/>
      <c r="C68" s="5"/>
      <c r="D68" s="6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>
      <c r="A69" s="6"/>
      <c r="B69" s="5"/>
      <c r="C69" s="5"/>
      <c r="D69" s="6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>
      <c r="A70" s="6"/>
      <c r="B70" s="5"/>
      <c r="C70" s="5"/>
      <c r="D70" s="6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>
      <c r="A71" s="6"/>
      <c r="B71" s="5"/>
      <c r="C71" s="5"/>
      <c r="D71" s="6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>
      <c r="A72" s="6"/>
      <c r="B72" s="5"/>
      <c r="C72" s="5"/>
      <c r="D72" s="6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>
      <c r="A73" s="6"/>
      <c r="B73" s="5"/>
      <c r="C73" s="5"/>
      <c r="D73" s="6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</row>
  </sheetData>
  <conditionalFormatting sqref="B1 B3:B1025">
    <cfRule type="expression" dxfId="2" priority="1">
      <formula>$A1="M"</formula>
    </cfRule>
  </conditionalFormatting>
  <conditionalFormatting sqref="B1 B3:B1025">
    <cfRule type="expression" dxfId="3" priority="2">
      <formula>$A1="D"</formula>
    </cfRule>
  </conditionalFormatting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75"/>
    <col customWidth="1" min="3" max="3" width="17.13"/>
    <col customWidth="1" min="4" max="4" width="16.0"/>
  </cols>
  <sheetData>
    <row r="1">
      <c r="A1" s="1" t="s">
        <v>30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>
      <c r="A4" s="6" t="s">
        <v>48</v>
      </c>
      <c r="B4" s="5" t="s">
        <v>307</v>
      </c>
      <c r="C4" s="6" t="str">
        <f>'技能'!C4</f>
        <v>Seeker's Lyre</v>
      </c>
      <c r="D4" s="6" t="str">
        <f>'技能'!D4</f>
        <v>尋音のライアー</v>
      </c>
      <c r="E4" s="6" t="str">
        <f>'技能'!E4</f>
        <v>리듬의 리라</v>
      </c>
      <c r="F4" s="6" t="str">
        <f>'技能'!F4</f>
        <v>寻音之琴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48</v>
      </c>
      <c r="B5" s="5" t="s">
        <v>317</v>
      </c>
      <c r="C5" s="6" t="str">
        <f>'技能'!C6</f>
        <v>Ridicule Fan</v>
      </c>
      <c r="D5" s="6" t="str">
        <f>'技能'!D6</f>
        <v>嘲笑のハリセン</v>
      </c>
      <c r="E5" s="6" t="str">
        <f>'技能'!E6</f>
        <v>독설 부채</v>
      </c>
      <c r="F5" s="6" t="str">
        <f>'技能'!F6</f>
        <v>吐槽折扇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6" t="s">
        <v>48</v>
      </c>
      <c r="B6" s="15" t="s">
        <v>326</v>
      </c>
      <c r="C6" s="6" t="str">
        <f>'技能'!C8</f>
        <v>Surprise Popper</v>
      </c>
      <c r="D6" s="6" t="str">
        <f>'技能'!D8</f>
        <v>サプラィズ連砲</v>
      </c>
      <c r="E6" s="6" t="str">
        <f>'技能'!E8</f>
        <v>깜짝 폭죽</v>
      </c>
      <c r="F6" s="6" t="str">
        <f>'技能'!F8</f>
        <v>惊喜拉炮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48</v>
      </c>
      <c r="B7" s="15" t="s">
        <v>336</v>
      </c>
      <c r="C7" s="6" t="str">
        <f>'技能'!C10</f>
        <v>Greed Scepter</v>
      </c>
      <c r="D7" s="6" t="str">
        <f>'技能'!D10</f>
        <v>強欲の権化</v>
      </c>
      <c r="E7" s="6" t="str">
        <f>'技能'!E10</f>
        <v>탐욕의 지팡이</v>
      </c>
      <c r="F7" s="6" t="str">
        <f>'技能'!F10</f>
        <v>贪欲权杖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6" t="s">
        <v>48</v>
      </c>
      <c r="B8" s="15" t="s">
        <v>346</v>
      </c>
      <c r="C8" s="6" t="str">
        <f>'技能'!C12</f>
        <v>Rose of Pride</v>
      </c>
      <c r="D8" s="6" t="str">
        <f>'技能'!D12</f>
        <v>誇りの薔薇</v>
      </c>
      <c r="E8" s="6" t="str">
        <f>'技能'!E12</f>
        <v>오만한 장미</v>
      </c>
      <c r="F8" s="6" t="str">
        <f>'技能'!F12</f>
        <v>傲慢玫瑰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6" t="s">
        <v>48</v>
      </c>
      <c r="B9" s="15" t="s">
        <v>355</v>
      </c>
      <c r="C9" s="6" t="str">
        <f>'技能'!C14</f>
        <v>Warningbell</v>
      </c>
      <c r="D9" s="6" t="str">
        <f>'技能'!D14</f>
        <v>戒備の鈴</v>
      </c>
      <c r="E9" s="6" t="str">
        <f>'技能'!E14</f>
        <v>경계의 종</v>
      </c>
      <c r="F9" s="6" t="str">
        <f>'技能'!F14</f>
        <v>戒备之铃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6" t="s">
        <v>48</v>
      </c>
      <c r="B10" s="15" t="s">
        <v>365</v>
      </c>
      <c r="C10" s="6" t="str">
        <f>'技能'!C16</f>
        <v>Shattered Dream</v>
      </c>
      <c r="D10" s="6" t="str">
        <f>'技能'!D16</f>
        <v>夢幻の泡</v>
      </c>
      <c r="E10" s="6" t="s">
        <v>368</v>
      </c>
      <c r="F10" s="6" t="str">
        <f>'技能'!F16</f>
        <v>梦想破灭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6"/>
      <c r="B11" s="5" t="s">
        <v>592</v>
      </c>
      <c r="C11" s="30" t="s">
        <v>593</v>
      </c>
      <c r="D11" s="6" t="s">
        <v>594</v>
      </c>
      <c r="E11" s="6" t="s">
        <v>595</v>
      </c>
      <c r="F11" s="30" t="s">
        <v>596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6"/>
      <c r="B12" s="5" t="s">
        <v>597</v>
      </c>
      <c r="C12" s="30" t="s">
        <v>598</v>
      </c>
      <c r="D12" s="6" t="s">
        <v>599</v>
      </c>
      <c r="E12" s="6" t="s">
        <v>600</v>
      </c>
      <c r="F12" s="30" t="s">
        <v>601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6"/>
      <c r="B13" s="5" t="s">
        <v>602</v>
      </c>
      <c r="C13" s="30" t="s">
        <v>603</v>
      </c>
      <c r="D13" s="6" t="s">
        <v>604</v>
      </c>
      <c r="E13" s="6" t="s">
        <v>605</v>
      </c>
      <c r="F13" s="30" t="s">
        <v>606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6"/>
      <c r="B14" s="5" t="s">
        <v>607</v>
      </c>
      <c r="C14" s="30" t="s">
        <v>608</v>
      </c>
      <c r="D14" s="6" t="s">
        <v>609</v>
      </c>
      <c r="E14" s="6" t="s">
        <v>610</v>
      </c>
      <c r="F14" s="30" t="s">
        <v>611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6"/>
      <c r="B15" s="5" t="s">
        <v>612</v>
      </c>
      <c r="C15" s="30" t="s">
        <v>613</v>
      </c>
      <c r="D15" s="6" t="s">
        <v>614</v>
      </c>
      <c r="E15" s="6" t="s">
        <v>615</v>
      </c>
      <c r="F15" s="30" t="s">
        <v>616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6"/>
      <c r="B16" s="5" t="s">
        <v>617</v>
      </c>
      <c r="C16" s="30" t="s">
        <v>618</v>
      </c>
      <c r="D16" s="6" t="s">
        <v>619</v>
      </c>
      <c r="E16" s="6" t="s">
        <v>620</v>
      </c>
      <c r="F16" s="30" t="s">
        <v>621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6"/>
      <c r="B17" s="5" t="s">
        <v>622</v>
      </c>
      <c r="C17" s="30" t="s">
        <v>623</v>
      </c>
      <c r="D17" s="6" t="s">
        <v>624</v>
      </c>
      <c r="E17" s="6" t="s">
        <v>625</v>
      </c>
      <c r="F17" s="30" t="s">
        <v>622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6"/>
      <c r="B18" s="5" t="s">
        <v>626</v>
      </c>
      <c r="C18" s="30" t="s">
        <v>627</v>
      </c>
      <c r="D18" s="6" t="s">
        <v>628</v>
      </c>
      <c r="E18" s="6" t="s">
        <v>629</v>
      </c>
      <c r="F18" s="30" t="s">
        <v>630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6"/>
      <c r="B19" s="5" t="s">
        <v>631</v>
      </c>
      <c r="C19" s="30" t="s">
        <v>632</v>
      </c>
      <c r="D19" s="6" t="s">
        <v>633</v>
      </c>
      <c r="E19" s="6" t="s">
        <v>634</v>
      </c>
      <c r="F19" s="30" t="s">
        <v>635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6"/>
      <c r="B20" s="5" t="s">
        <v>636</v>
      </c>
      <c r="C20" s="30" t="s">
        <v>637</v>
      </c>
      <c r="D20" s="6" t="s">
        <v>638</v>
      </c>
      <c r="E20" s="6" t="s">
        <v>639</v>
      </c>
      <c r="F20" s="30" t="s">
        <v>636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6"/>
      <c r="B21" s="5" t="s">
        <v>640</v>
      </c>
      <c r="C21" s="30" t="s">
        <v>641</v>
      </c>
      <c r="D21" s="6" t="s">
        <v>642</v>
      </c>
      <c r="E21" s="6" t="s">
        <v>643</v>
      </c>
      <c r="F21" s="30" t="s">
        <v>644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6"/>
      <c r="B22" s="5" t="s">
        <v>645</v>
      </c>
      <c r="C22" s="30" t="s">
        <v>646</v>
      </c>
      <c r="D22" s="6" t="s">
        <v>647</v>
      </c>
      <c r="E22" s="6" t="s">
        <v>648</v>
      </c>
      <c r="F22" s="30" t="s">
        <v>649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6"/>
      <c r="B23" s="5" t="s">
        <v>650</v>
      </c>
      <c r="C23" s="30" t="s">
        <v>651</v>
      </c>
      <c r="D23" s="6" t="s">
        <v>652</v>
      </c>
      <c r="E23" s="6" t="s">
        <v>653</v>
      </c>
      <c r="F23" s="30" t="s">
        <v>650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6"/>
      <c r="B24" s="5" t="s">
        <v>654</v>
      </c>
      <c r="C24" s="30" t="s">
        <v>655</v>
      </c>
      <c r="D24" s="6" t="s">
        <v>656</v>
      </c>
      <c r="E24" s="6" t="s">
        <v>657</v>
      </c>
      <c r="F24" s="30" t="s">
        <v>658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6"/>
      <c r="B25" s="5" t="s">
        <v>659</v>
      </c>
      <c r="C25" s="30" t="s">
        <v>660</v>
      </c>
      <c r="D25" s="6" t="s">
        <v>661</v>
      </c>
      <c r="E25" s="6" t="s">
        <v>662</v>
      </c>
      <c r="F25" s="30" t="s">
        <v>663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6"/>
      <c r="B26" s="5" t="s">
        <v>664</v>
      </c>
      <c r="C26" s="30" t="s">
        <v>665</v>
      </c>
      <c r="D26" s="6" t="s">
        <v>666</v>
      </c>
      <c r="E26" s="6" t="s">
        <v>667</v>
      </c>
      <c r="F26" s="30" t="s">
        <v>668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6"/>
      <c r="B27" s="5" t="s">
        <v>669</v>
      </c>
      <c r="C27" s="30" t="s">
        <v>670</v>
      </c>
      <c r="D27" s="6" t="s">
        <v>671</v>
      </c>
      <c r="E27" s="6" t="s">
        <v>672</v>
      </c>
      <c r="F27" s="30" t="s">
        <v>669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6"/>
      <c r="B28" s="5" t="s">
        <v>673</v>
      </c>
      <c r="C28" s="30" t="s">
        <v>674</v>
      </c>
      <c r="D28" s="6" t="s">
        <v>675</v>
      </c>
      <c r="E28" s="6" t="s">
        <v>676</v>
      </c>
      <c r="F28" s="30" t="s">
        <v>673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6"/>
      <c r="B29" s="5" t="s">
        <v>677</v>
      </c>
      <c r="C29" s="30" t="s">
        <v>678</v>
      </c>
      <c r="D29" s="6" t="s">
        <v>679</v>
      </c>
      <c r="E29" s="6" t="s">
        <v>680</v>
      </c>
      <c r="F29" s="30" t="s">
        <v>681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6"/>
      <c r="B30" s="5" t="s">
        <v>682</v>
      </c>
      <c r="C30" s="30" t="s">
        <v>683</v>
      </c>
      <c r="D30" s="6" t="s">
        <v>684</v>
      </c>
      <c r="E30" s="6" t="s">
        <v>685</v>
      </c>
      <c r="F30" s="30" t="s">
        <v>682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6"/>
      <c r="B31" s="5" t="s">
        <v>686</v>
      </c>
      <c r="C31" s="30" t="s">
        <v>687</v>
      </c>
      <c r="D31" s="6" t="s">
        <v>688</v>
      </c>
      <c r="E31" s="6" t="s">
        <v>689</v>
      </c>
      <c r="F31" s="30" t="s">
        <v>690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6"/>
      <c r="B32" s="5" t="s">
        <v>691</v>
      </c>
      <c r="C32" s="30" t="s">
        <v>692</v>
      </c>
      <c r="D32" s="6" t="s">
        <v>693</v>
      </c>
      <c r="E32" s="6" t="s">
        <v>694</v>
      </c>
      <c r="F32" s="30" t="s">
        <v>695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6"/>
      <c r="B33" s="5" t="s">
        <v>696</v>
      </c>
      <c r="C33" s="30" t="s">
        <v>697</v>
      </c>
      <c r="D33" s="6" t="s">
        <v>698</v>
      </c>
      <c r="E33" s="6" t="s">
        <v>699</v>
      </c>
      <c r="F33" s="30" t="s">
        <v>700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6"/>
      <c r="B34" s="5" t="s">
        <v>701</v>
      </c>
      <c r="C34" s="30" t="s">
        <v>702</v>
      </c>
      <c r="D34" s="6" t="s">
        <v>703</v>
      </c>
      <c r="E34" s="6" t="s">
        <v>704</v>
      </c>
      <c r="F34" s="30" t="s">
        <v>701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6"/>
      <c r="B35" s="5" t="s">
        <v>705</v>
      </c>
      <c r="C35" s="30" t="s">
        <v>706</v>
      </c>
      <c r="D35" s="6" t="s">
        <v>707</v>
      </c>
      <c r="E35" s="6" t="s">
        <v>708</v>
      </c>
      <c r="F35" s="30" t="s">
        <v>709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6"/>
      <c r="B36" s="5" t="s">
        <v>710</v>
      </c>
      <c r="C36" s="30" t="s">
        <v>711</v>
      </c>
      <c r="D36" s="6" t="s">
        <v>712</v>
      </c>
      <c r="E36" s="6" t="s">
        <v>713</v>
      </c>
      <c r="F36" s="30" t="s">
        <v>714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6"/>
      <c r="B37" s="5" t="s">
        <v>715</v>
      </c>
      <c r="C37" s="30" t="s">
        <v>716</v>
      </c>
      <c r="D37" s="6" t="s">
        <v>717</v>
      </c>
      <c r="E37" s="6" t="s">
        <v>718</v>
      </c>
      <c r="F37" s="30" t="s">
        <v>715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6"/>
      <c r="B38" s="5" t="s">
        <v>719</v>
      </c>
      <c r="C38" s="30" t="s">
        <v>720</v>
      </c>
      <c r="D38" s="6" t="s">
        <v>721</v>
      </c>
      <c r="E38" s="6" t="s">
        <v>722</v>
      </c>
      <c r="F38" s="30" t="s">
        <v>723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6"/>
      <c r="B39" s="5" t="s">
        <v>724</v>
      </c>
      <c r="C39" s="30" t="s">
        <v>725</v>
      </c>
      <c r="D39" s="6" t="s">
        <v>726</v>
      </c>
      <c r="E39" s="6" t="s">
        <v>727</v>
      </c>
      <c r="F39" s="30" t="s">
        <v>728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6"/>
      <c r="B40" s="5" t="s">
        <v>729</v>
      </c>
      <c r="C40" s="30" t="s">
        <v>730</v>
      </c>
      <c r="D40" s="6" t="s">
        <v>731</v>
      </c>
      <c r="E40" s="6" t="s">
        <v>732</v>
      </c>
      <c r="F40" s="30" t="s">
        <v>733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6"/>
      <c r="B41" s="5" t="s">
        <v>734</v>
      </c>
      <c r="C41" s="30" t="s">
        <v>735</v>
      </c>
      <c r="D41" s="6" t="s">
        <v>736</v>
      </c>
      <c r="E41" s="6" t="s">
        <v>737</v>
      </c>
      <c r="F41" s="30" t="s">
        <v>734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6"/>
      <c r="B42" s="5" t="s">
        <v>738</v>
      </c>
      <c r="C42" s="30" t="s">
        <v>739</v>
      </c>
      <c r="D42" s="6" t="s">
        <v>740</v>
      </c>
      <c r="E42" s="6" t="s">
        <v>741</v>
      </c>
      <c r="F42" s="30" t="s">
        <v>742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6"/>
      <c r="B43" s="5" t="s">
        <v>743</v>
      </c>
      <c r="C43" s="30" t="s">
        <v>744</v>
      </c>
      <c r="D43" s="6" t="s">
        <v>745</v>
      </c>
      <c r="E43" s="6" t="s">
        <v>746</v>
      </c>
      <c r="F43" s="30" t="s">
        <v>747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6"/>
      <c r="B44" s="5" t="s">
        <v>748</v>
      </c>
      <c r="C44" s="30" t="s">
        <v>749</v>
      </c>
      <c r="D44" s="6" t="s">
        <v>750</v>
      </c>
      <c r="E44" s="6" t="s">
        <v>751</v>
      </c>
      <c r="F44" s="30" t="s">
        <v>752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6"/>
      <c r="B45" s="5" t="s">
        <v>753</v>
      </c>
      <c r="C45" s="30" t="s">
        <v>754</v>
      </c>
      <c r="D45" s="6" t="s">
        <v>755</v>
      </c>
      <c r="E45" s="6" t="s">
        <v>756</v>
      </c>
      <c r="F45" s="30" t="s">
        <v>753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6" t="s">
        <v>757</v>
      </c>
      <c r="C46" s="6" t="s">
        <v>758</v>
      </c>
      <c r="D46" s="6" t="s">
        <v>759</v>
      </c>
      <c r="E46" s="51" t="s">
        <v>760</v>
      </c>
      <c r="F46" s="30" t="s">
        <v>761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6" t="s">
        <v>762</v>
      </c>
      <c r="C47" s="6" t="s">
        <v>763</v>
      </c>
      <c r="D47" s="6" t="s">
        <v>764</v>
      </c>
      <c r="E47" s="51" t="s">
        <v>765</v>
      </c>
      <c r="F47" s="30" t="s">
        <v>762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6" t="s">
        <v>766</v>
      </c>
      <c r="C48" s="6" t="s">
        <v>767</v>
      </c>
      <c r="D48" s="6" t="s">
        <v>768</v>
      </c>
      <c r="E48" s="51" t="s">
        <v>769</v>
      </c>
      <c r="F48" s="30" t="s">
        <v>770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6" t="s">
        <v>771</v>
      </c>
      <c r="C49" s="6" t="s">
        <v>772</v>
      </c>
      <c r="D49" s="6" t="s">
        <v>773</v>
      </c>
      <c r="E49" s="51" t="s">
        <v>774</v>
      </c>
      <c r="F49" s="30" t="s">
        <v>771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6" t="s">
        <v>775</v>
      </c>
      <c r="C50" s="6" t="s">
        <v>776</v>
      </c>
      <c r="D50" s="6" t="s">
        <v>777</v>
      </c>
      <c r="E50" s="51" t="s">
        <v>778</v>
      </c>
      <c r="F50" s="30" t="s">
        <v>779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2" t="s">
        <v>780</v>
      </c>
      <c r="C51" s="52" t="s">
        <v>781</v>
      </c>
      <c r="D51" s="6" t="s">
        <v>780</v>
      </c>
      <c r="E51" s="6" t="s">
        <v>782</v>
      </c>
      <c r="F51" s="30" t="s">
        <v>780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6" t="s">
        <v>783</v>
      </c>
      <c r="C52" s="6" t="s">
        <v>784</v>
      </c>
      <c r="D52" s="6" t="s">
        <v>785</v>
      </c>
      <c r="E52" s="6" t="s">
        <v>786</v>
      </c>
      <c r="F52" s="5" t="s">
        <v>783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6" t="s">
        <v>787</v>
      </c>
      <c r="C53" s="6" t="s">
        <v>788</v>
      </c>
      <c r="D53" s="6" t="s">
        <v>789</v>
      </c>
      <c r="E53" s="6" t="s">
        <v>790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31" t="s">
        <v>791</v>
      </c>
      <c r="D54" s="31" t="s">
        <v>792</v>
      </c>
      <c r="E54" s="31" t="s">
        <v>793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</sheetData>
  <conditionalFormatting sqref="B1 B3:B53 B55:B1001">
    <cfRule type="expression" dxfId="4" priority="1">
      <formula>$A1="D"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5"/>
    <col customWidth="1" min="2" max="2" width="14.88"/>
    <col customWidth="1" min="3" max="6" width="13.88"/>
  </cols>
  <sheetData>
    <row r="1">
      <c r="A1" s="53" t="s">
        <v>33</v>
      </c>
      <c r="B1" s="40"/>
      <c r="C1" s="54"/>
      <c r="D1" s="26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1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5"/>
    </row>
    <row r="3">
      <c r="A3" s="12" t="s">
        <v>55</v>
      </c>
      <c r="B3" s="11" t="s">
        <v>3</v>
      </c>
      <c r="C3" s="11" t="s">
        <v>4</v>
      </c>
      <c r="D3" s="12" t="s">
        <v>5</v>
      </c>
      <c r="E3" s="12" t="s">
        <v>7</v>
      </c>
      <c r="F3" s="12" t="s">
        <v>18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5"/>
    </row>
    <row r="4">
      <c r="A4" s="45"/>
      <c r="B4" s="55" t="s">
        <v>794</v>
      </c>
      <c r="C4" s="6" t="s">
        <v>795</v>
      </c>
      <c r="D4" s="6" t="s">
        <v>796</v>
      </c>
      <c r="E4" s="36" t="s">
        <v>797</v>
      </c>
      <c r="F4" s="30" t="s">
        <v>798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5"/>
      <c r="B5" s="56" t="s">
        <v>799</v>
      </c>
      <c r="C5" s="6" t="s">
        <v>800</v>
      </c>
      <c r="D5" s="6" t="s">
        <v>801</v>
      </c>
      <c r="E5" s="19" t="s">
        <v>802</v>
      </c>
      <c r="F5" s="30" t="s">
        <v>799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5"/>
      <c r="B6" s="56" t="s">
        <v>803</v>
      </c>
      <c r="C6" s="6" t="s">
        <v>804</v>
      </c>
      <c r="D6" s="6" t="s">
        <v>805</v>
      </c>
      <c r="E6" s="19" t="s">
        <v>806</v>
      </c>
      <c r="F6" s="30" t="s">
        <v>807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5"/>
      <c r="B7" s="56" t="s">
        <v>808</v>
      </c>
      <c r="C7" s="6" t="s">
        <v>809</v>
      </c>
      <c r="D7" s="6" t="s">
        <v>810</v>
      </c>
      <c r="E7" s="6" t="s">
        <v>811</v>
      </c>
      <c r="F7" s="30" t="s">
        <v>808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5"/>
      <c r="B8" s="56" t="s">
        <v>812</v>
      </c>
      <c r="C8" s="6" t="s">
        <v>813</v>
      </c>
      <c r="D8" s="6" t="s">
        <v>814</v>
      </c>
      <c r="E8" s="19" t="s">
        <v>815</v>
      </c>
      <c r="F8" s="30" t="s">
        <v>816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5"/>
      <c r="B9" s="56" t="s">
        <v>817</v>
      </c>
      <c r="C9" s="6" t="s">
        <v>818</v>
      </c>
      <c r="D9" s="6" t="s">
        <v>819</v>
      </c>
      <c r="E9" s="19" t="s">
        <v>820</v>
      </c>
      <c r="F9" s="30" t="s">
        <v>821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5"/>
      <c r="B10" s="56" t="s">
        <v>822</v>
      </c>
      <c r="C10" s="6" t="s">
        <v>823</v>
      </c>
      <c r="D10" s="6" t="s">
        <v>824</v>
      </c>
      <c r="E10" s="6" t="s">
        <v>825</v>
      </c>
      <c r="F10" s="30" t="s">
        <v>826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5"/>
      <c r="B11" s="56" t="s">
        <v>827</v>
      </c>
      <c r="C11" s="6" t="s">
        <v>828</v>
      </c>
      <c r="D11" s="6" t="s">
        <v>829</v>
      </c>
      <c r="E11" s="19" t="s">
        <v>830</v>
      </c>
      <c r="F11" s="30" t="s">
        <v>831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45"/>
      <c r="B12" s="56" t="s">
        <v>832</v>
      </c>
      <c r="C12" s="6" t="s">
        <v>833</v>
      </c>
      <c r="D12" s="6" t="s">
        <v>834</v>
      </c>
      <c r="E12" s="19" t="s">
        <v>835</v>
      </c>
      <c r="F12" s="30" t="s">
        <v>836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5"/>
      <c r="B13" s="55" t="s">
        <v>837</v>
      </c>
      <c r="C13" s="6" t="s">
        <v>838</v>
      </c>
      <c r="D13" s="6" t="s">
        <v>839</v>
      </c>
      <c r="E13" s="6" t="s">
        <v>840</v>
      </c>
      <c r="F13" s="30" t="s">
        <v>841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45"/>
      <c r="B14" s="56" t="s">
        <v>842</v>
      </c>
      <c r="C14" s="6" t="s">
        <v>843</v>
      </c>
      <c r="D14" s="6" t="s">
        <v>844</v>
      </c>
      <c r="E14" s="19" t="s">
        <v>845</v>
      </c>
      <c r="F14" s="30" t="s">
        <v>846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45"/>
      <c r="B15" s="56" t="s">
        <v>847</v>
      </c>
      <c r="C15" s="6" t="s">
        <v>848</v>
      </c>
      <c r="D15" s="6" t="s">
        <v>849</v>
      </c>
      <c r="E15" s="19" t="s">
        <v>850</v>
      </c>
      <c r="F15" s="30" t="s">
        <v>847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5"/>
      <c r="B16" s="55" t="s">
        <v>851</v>
      </c>
      <c r="C16" s="6" t="s">
        <v>852</v>
      </c>
      <c r="D16" s="6" t="s">
        <v>853</v>
      </c>
      <c r="E16" s="6" t="s">
        <v>854</v>
      </c>
      <c r="F16" s="30" t="s">
        <v>855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45"/>
      <c r="B17" s="56" t="s">
        <v>856</v>
      </c>
      <c r="C17" s="6" t="s">
        <v>857</v>
      </c>
      <c r="D17" s="6" t="s">
        <v>858</v>
      </c>
      <c r="E17" s="19" t="s">
        <v>859</v>
      </c>
      <c r="F17" s="30" t="s">
        <v>856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5"/>
      <c r="B18" s="56" t="s">
        <v>860</v>
      </c>
      <c r="C18" s="6" t="s">
        <v>861</v>
      </c>
      <c r="D18" s="6" t="s">
        <v>862</v>
      </c>
      <c r="E18" s="19" t="s">
        <v>863</v>
      </c>
      <c r="F18" s="30" t="s">
        <v>864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5"/>
      <c r="B19" s="55" t="s">
        <v>865</v>
      </c>
      <c r="C19" s="6" t="s">
        <v>866</v>
      </c>
      <c r="D19" s="6" t="s">
        <v>867</v>
      </c>
      <c r="E19" s="6" t="s">
        <v>868</v>
      </c>
      <c r="F19" s="30" t="s">
        <v>869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5"/>
      <c r="B20" s="56" t="s">
        <v>870</v>
      </c>
      <c r="C20" s="6" t="s">
        <v>871</v>
      </c>
      <c r="D20" s="6" t="s">
        <v>872</v>
      </c>
      <c r="E20" s="19" t="s">
        <v>873</v>
      </c>
      <c r="F20" s="30" t="s">
        <v>874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5"/>
      <c r="B21" s="56" t="s">
        <v>875</v>
      </c>
      <c r="C21" s="6" t="s">
        <v>876</v>
      </c>
      <c r="D21" s="6" t="s">
        <v>877</v>
      </c>
      <c r="E21" s="19" t="s">
        <v>878</v>
      </c>
      <c r="F21" s="30" t="s">
        <v>879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45"/>
      <c r="B22" s="55" t="s">
        <v>880</v>
      </c>
      <c r="C22" s="6" t="s">
        <v>881</v>
      </c>
      <c r="D22" s="6" t="s">
        <v>882</v>
      </c>
      <c r="E22" s="6" t="s">
        <v>883</v>
      </c>
      <c r="F22" s="30" t="s">
        <v>880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45"/>
      <c r="B23" s="56" t="s">
        <v>884</v>
      </c>
      <c r="C23" s="6" t="s">
        <v>885</v>
      </c>
      <c r="D23" s="6" t="s">
        <v>886</v>
      </c>
      <c r="E23" s="19" t="s">
        <v>887</v>
      </c>
      <c r="F23" s="30" t="s">
        <v>888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45"/>
      <c r="B24" s="56" t="s">
        <v>889</v>
      </c>
      <c r="C24" s="6" t="s">
        <v>890</v>
      </c>
      <c r="D24" s="6" t="s">
        <v>891</v>
      </c>
      <c r="E24" s="19" t="s">
        <v>892</v>
      </c>
      <c r="F24" s="30" t="s">
        <v>893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45"/>
      <c r="B25" s="55" t="s">
        <v>894</v>
      </c>
      <c r="C25" s="6" t="s">
        <v>895</v>
      </c>
      <c r="D25" s="6" t="s">
        <v>896</v>
      </c>
      <c r="E25" s="6" t="s">
        <v>897</v>
      </c>
      <c r="F25" s="30" t="s">
        <v>898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45"/>
      <c r="B26" s="6" t="s">
        <v>899</v>
      </c>
      <c r="C26" s="6" t="s">
        <v>900</v>
      </c>
      <c r="D26" s="6" t="s">
        <v>901</v>
      </c>
      <c r="E26" s="19" t="s">
        <v>902</v>
      </c>
      <c r="F26" s="30" t="s">
        <v>903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45"/>
      <c r="B27" s="6" t="s">
        <v>904</v>
      </c>
      <c r="C27" s="6" t="s">
        <v>905</v>
      </c>
      <c r="D27" s="6" t="s">
        <v>906</v>
      </c>
      <c r="E27" s="19" t="s">
        <v>907</v>
      </c>
      <c r="F27" s="30" t="s">
        <v>908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45" t="s">
        <v>48</v>
      </c>
      <c r="B28" s="45" t="s">
        <v>33</v>
      </c>
      <c r="C28" s="45" t="str">
        <f>'玩法與系統'!C14</f>
        <v>Companion</v>
      </c>
      <c r="D28" s="6" t="str">
        <f>'玩法與系統'!D14</f>
        <v>仲間</v>
      </c>
      <c r="E28" s="6" t="str">
        <f>'玩法與系統'!E14</f>
        <v>동료</v>
      </c>
      <c r="F28" s="30" t="s">
        <v>33</v>
      </c>
      <c r="G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45"/>
      <c r="B29" s="6" t="s">
        <v>909</v>
      </c>
      <c r="C29" s="6" t="s">
        <v>910</v>
      </c>
      <c r="D29" s="6" t="s">
        <v>911</v>
      </c>
      <c r="E29" s="6" t="s">
        <v>912</v>
      </c>
      <c r="F29" s="5" t="s">
        <v>909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45"/>
      <c r="B30" s="6" t="s">
        <v>913</v>
      </c>
      <c r="C30" s="6" t="s">
        <v>914</v>
      </c>
      <c r="D30" s="6" t="s">
        <v>915</v>
      </c>
      <c r="E30" s="6" t="s">
        <v>916</v>
      </c>
      <c r="F30" s="5" t="s">
        <v>913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45"/>
      <c r="B31" s="6" t="s">
        <v>917</v>
      </c>
      <c r="C31" s="6" t="s">
        <v>918</v>
      </c>
      <c r="D31" s="6" t="s">
        <v>919</v>
      </c>
      <c r="E31" s="6" t="s">
        <v>920</v>
      </c>
      <c r="F31" s="5" t="s">
        <v>921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45"/>
      <c r="B32" s="6" t="s">
        <v>922</v>
      </c>
      <c r="C32" s="6" t="s">
        <v>923</v>
      </c>
      <c r="D32" s="6" t="s">
        <v>924</v>
      </c>
      <c r="E32" s="6" t="s">
        <v>925</v>
      </c>
      <c r="F32" s="5" t="s">
        <v>926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45"/>
      <c r="B33" s="6" t="s">
        <v>927</v>
      </c>
      <c r="C33" s="6" t="s">
        <v>928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4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4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4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4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4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4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4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4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4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4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4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4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4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4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4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4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4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4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4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4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4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4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4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4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4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4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4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4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4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4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4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4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4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4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4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4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4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4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4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4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4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4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4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4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4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4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4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4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4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4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4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4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4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4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4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4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4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4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4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4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4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4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4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4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4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4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4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4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4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4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4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4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4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4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4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4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4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4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4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4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4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4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4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4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4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4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4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4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4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4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4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4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4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4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4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4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4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4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4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4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4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4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4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4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4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4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4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4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4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4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4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4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4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4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4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4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4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4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4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4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4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4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4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4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4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4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4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4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4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4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4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4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4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4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4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4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4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4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4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4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4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4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4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4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4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4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4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4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4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4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4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4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4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4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4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4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4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4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4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4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4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4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4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4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4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4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4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4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4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4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4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4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4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4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4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4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4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4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4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4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4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4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4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4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4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4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4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4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4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4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4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4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4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4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4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4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4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4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4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4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4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4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4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4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4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4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4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4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4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4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4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4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4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4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4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4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4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4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4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4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4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4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4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4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4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4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4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4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4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4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4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4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4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4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4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4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4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4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4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4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4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4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4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4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4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4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4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4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4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4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4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4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4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4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4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4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4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4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4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4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4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4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4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4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4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4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4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4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4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4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4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4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4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4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4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4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4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4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4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4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4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4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4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4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4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4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4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4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4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4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4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4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4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4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4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4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4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4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4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4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4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4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4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4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4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4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4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4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4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4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4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4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4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4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4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4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4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4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4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4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4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4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4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4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4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4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4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4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4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4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4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4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4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4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4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4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4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4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4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4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4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4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4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4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4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4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4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4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4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4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4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4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4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4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4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4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4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4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4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4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4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4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4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4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4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4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4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4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4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4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4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4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4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4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4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4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4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4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4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4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4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4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4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4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4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4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4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4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4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4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4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4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4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4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4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4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4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4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4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4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4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4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4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4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4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4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4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4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4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4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4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4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4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4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4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4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4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4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4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4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4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4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4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4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4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4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4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4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4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4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4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4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4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4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4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4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4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4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4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4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4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4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4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4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4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4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4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4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4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4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4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4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4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4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4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4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4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4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4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4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4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4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4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4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4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4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4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4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4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4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4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4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4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4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4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4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4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4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4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4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4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4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4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4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4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4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4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4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4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4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4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4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4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4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4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4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4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4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4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4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4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4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4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4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4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4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4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4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4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4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4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4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4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4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4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4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4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4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4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4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4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4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4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4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4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4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4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4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4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4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4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4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4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4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4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4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4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4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4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4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4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4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4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4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4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4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4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4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4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4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4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4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4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4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4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4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4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4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4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4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4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4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4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4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4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4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4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4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4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4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4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4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4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4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4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4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4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4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4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4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4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4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4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4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4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4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4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4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4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4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4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4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4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4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4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4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4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4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4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4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4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4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4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4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4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4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4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4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4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4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4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4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4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4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4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4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4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4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4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4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4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4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4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4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4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4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4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4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4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4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4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4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4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4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4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4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4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4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4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4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4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4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4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4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4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4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4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4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4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4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4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4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4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4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4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4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4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4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4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4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4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4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4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4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4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4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4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4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4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4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4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4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4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4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4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4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4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4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4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4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4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4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4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4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4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4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4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4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4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4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4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4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4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4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4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4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4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4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4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4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4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4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4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4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4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4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4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4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4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4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4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4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4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4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4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4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4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4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4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4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4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4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4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4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4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4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4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4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4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4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4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4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4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4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4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4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4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4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4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4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4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4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4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4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4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4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4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4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4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4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4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4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4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4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4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4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4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4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4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4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4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4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4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4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4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4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4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4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4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4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4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4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4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4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4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4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4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4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4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4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4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4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4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4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4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4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4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4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4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4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4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4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4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4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4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4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4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4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4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4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4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4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4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4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4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4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4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4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4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4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4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4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4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4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4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4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4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4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4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4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4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4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4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4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4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4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4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4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4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4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4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4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4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4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4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4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4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4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4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4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4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4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4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4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4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4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4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4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4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4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4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4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4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4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4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4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4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4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4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4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4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4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4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4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4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4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4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4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4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4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4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4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4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4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4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4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4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4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4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4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4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4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4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4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4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4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4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4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4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4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4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4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4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4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4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4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4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4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4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4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4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4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4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4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4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4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4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4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4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4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4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4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4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4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4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4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4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4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4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4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4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4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4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4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4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4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4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4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4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4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4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4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4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4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4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4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4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4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4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4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4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4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4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4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4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4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4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4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4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4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4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46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46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46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46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46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46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46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46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46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46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46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</sheetData>
  <conditionalFormatting sqref="B1 B3:B1010">
    <cfRule type="expression" dxfId="4" priority="1">
      <formula>$A1="D"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0"/>
    <col customWidth="1" min="2" max="2" width="20.75"/>
    <col customWidth="1" min="3" max="3" width="23.13"/>
    <col customWidth="1" min="4" max="4" width="33.5"/>
    <col customWidth="1" min="5" max="5" width="28.38"/>
    <col customWidth="1" min="6" max="6" width="15.0"/>
  </cols>
  <sheetData>
    <row r="1">
      <c r="A1" s="1" t="s">
        <v>306</v>
      </c>
      <c r="B1" s="57"/>
      <c r="C1" s="26"/>
      <c r="D1" s="2"/>
      <c r="E1" s="2"/>
      <c r="F1" s="5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2"/>
      <c r="B2" s="59" t="s">
        <v>101</v>
      </c>
      <c r="C2" s="12" t="s">
        <v>220</v>
      </c>
      <c r="D2" s="12" t="s">
        <v>102</v>
      </c>
      <c r="E2" s="12" t="s">
        <v>53</v>
      </c>
      <c r="F2" s="60" t="s">
        <v>54</v>
      </c>
      <c r="G2" s="12" t="s">
        <v>77</v>
      </c>
      <c r="H2" s="12" t="s">
        <v>78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>
      <c r="A3" s="12" t="s">
        <v>55</v>
      </c>
      <c r="B3" s="61" t="s">
        <v>3</v>
      </c>
      <c r="C3" s="62" t="s">
        <v>4</v>
      </c>
      <c r="D3" s="12" t="s">
        <v>5</v>
      </c>
      <c r="E3" s="12" t="s">
        <v>7</v>
      </c>
      <c r="F3" s="60" t="s">
        <v>18</v>
      </c>
      <c r="G3" s="12" t="s">
        <v>79</v>
      </c>
      <c r="H3" s="12" t="s">
        <v>80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>
      <c r="A4" s="5"/>
      <c r="B4" s="63" t="s">
        <v>929</v>
      </c>
      <c r="C4" s="64" t="s">
        <v>930</v>
      </c>
      <c r="D4" s="65" t="s">
        <v>931</v>
      </c>
      <c r="E4" s="65" t="s">
        <v>932</v>
      </c>
      <c r="F4" s="66" t="str">
        <f>IFERROR(__xludf.DUMMYFUNCTION("GOOGLETRANSLATE(B4,""zh-TW"",""zh-CN"")"),"三角饭团")</f>
        <v>三角饭团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5"/>
      <c r="B5" s="63" t="s">
        <v>933</v>
      </c>
      <c r="C5" s="64" t="s">
        <v>934</v>
      </c>
      <c r="D5" s="65" t="s">
        <v>935</v>
      </c>
      <c r="E5" s="65" t="s">
        <v>936</v>
      </c>
      <c r="F5" s="66" t="str">
        <f>IFERROR(__xludf.DUMMYFUNCTION("GOOGLETRANSLATE(B5,""zh-TW"",""zh-CN"")"),"三明治")</f>
        <v>三明治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6"/>
      <c r="B6" s="67" t="s">
        <v>937</v>
      </c>
      <c r="C6" s="68" t="s">
        <v>938</v>
      </c>
      <c r="D6" s="6" t="s">
        <v>937</v>
      </c>
      <c r="E6" s="6" t="s">
        <v>939</v>
      </c>
      <c r="F6" s="66" t="str">
        <f>IFERROR(__xludf.DUMMYFUNCTION("GOOGLETRANSLATE(B6,""zh-TW"",""zh-CN"")"),"心力")</f>
        <v>心力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5"/>
      <c r="B7" s="69" t="s">
        <v>940</v>
      </c>
      <c r="C7" s="70" t="s">
        <v>941</v>
      </c>
      <c r="D7" s="69" t="s">
        <v>942</v>
      </c>
      <c r="E7" s="6" t="s">
        <v>943</v>
      </c>
      <c r="F7" s="66" t="str">
        <f>IFERROR(__xludf.DUMMYFUNCTION("GOOGLETRANSLATE(B7,""zh-TW"",""zh-CN"")"),"金币 (大)")</f>
        <v>金币 (大)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5"/>
      <c r="B8" s="69" t="s">
        <v>944</v>
      </c>
      <c r="C8" s="70" t="s">
        <v>945</v>
      </c>
      <c r="D8" s="69" t="s">
        <v>946</v>
      </c>
      <c r="E8" s="6" t="s">
        <v>947</v>
      </c>
      <c r="F8" s="66" t="str">
        <f>IFERROR(__xludf.DUMMYFUNCTION("GOOGLETRANSLATE(B8,""zh-TW"",""zh-CN"")"),"金币 (小)")</f>
        <v>金币 (小)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5"/>
      <c r="B9" s="69" t="s">
        <v>948</v>
      </c>
      <c r="C9" s="70" t="s">
        <v>949</v>
      </c>
      <c r="D9" s="69" t="s">
        <v>950</v>
      </c>
      <c r="E9" s="6" t="s">
        <v>951</v>
      </c>
      <c r="F9" s="66" t="str">
        <f>IFERROR(__xludf.DUMMYFUNCTION("GOOGLETRANSLATE(B9,""zh-TW"",""zh-CN"")"),"金币 (中)")</f>
        <v>金币 (中)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5"/>
      <c r="B10" s="63" t="s">
        <v>952</v>
      </c>
      <c r="C10" s="37" t="s">
        <v>953</v>
      </c>
      <c r="D10" s="6" t="s">
        <v>954</v>
      </c>
      <c r="E10" s="6" t="s">
        <v>955</v>
      </c>
      <c r="F10" s="66" t="str">
        <f>IFERROR(__xludf.DUMMYFUNCTION("GOOGLETRANSLATE(B10,""zh-TW"",""zh-CN"")"),"心尘秘窟扫荡券")</f>
        <v>心尘秘窟扫荡券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5"/>
      <c r="B11" s="37" t="s">
        <v>956</v>
      </c>
      <c r="C11" s="37" t="s">
        <v>957</v>
      </c>
      <c r="D11" s="6" t="s">
        <v>958</v>
      </c>
      <c r="E11" s="6" t="s">
        <v>959</v>
      </c>
      <c r="F11" s="66" t="str">
        <f>IFERROR(__xludf.DUMMYFUNCTION("GOOGLETRANSLATE(B11,""zh-TW"",""zh-CN"")"),"心魔试炼入场券")</f>
        <v>心魔试炼入场券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6"/>
      <c r="B12" s="63" t="s">
        <v>960</v>
      </c>
      <c r="C12" s="68" t="s">
        <v>961</v>
      </c>
      <c r="D12" s="6" t="s">
        <v>962</v>
      </c>
      <c r="E12" s="6" t="s">
        <v>963</v>
      </c>
      <c r="F12" s="66" t="str">
        <f>IFERROR(__xludf.DUMMYFUNCTION("GOOGLETRANSLATE(B12,""zh-TW"",""zh-CN"")"),"手套图纸")</f>
        <v>手套图纸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/>
      <c r="B13" s="71" t="s">
        <v>964</v>
      </c>
      <c r="C13" s="64" t="s">
        <v>965</v>
      </c>
      <c r="D13" s="6" t="s">
        <v>966</v>
      </c>
      <c r="E13" s="6" t="s">
        <v>967</v>
      </c>
      <c r="F13" s="66" t="str">
        <f>IFERROR(__xludf.DUMMYFUNCTION("GOOGLETRANSLATE(B13,""zh-TW"",""zh-CN"")"),"火焰之花")</f>
        <v>火焰之花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"/>
      <c r="B14" s="63" t="s">
        <v>968</v>
      </c>
      <c r="C14" s="64" t="s">
        <v>969</v>
      </c>
      <c r="D14" s="6" t="s">
        <v>970</v>
      </c>
      <c r="E14" s="6" t="s">
        <v>971</v>
      </c>
      <c r="F14" s="66" t="str">
        <f>IFERROR(__xludf.DUMMYFUNCTION("GOOGLETRANSLATE(B14,""zh-TW"",""zh-CN"")"),"可颂面包")</f>
        <v>可颂面包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"/>
      <c r="B15" s="63" t="s">
        <v>972</v>
      </c>
      <c r="C15" s="72" t="s">
        <v>973</v>
      </c>
      <c r="D15" s="6" t="s">
        <v>974</v>
      </c>
      <c r="E15" s="6" t="s">
        <v>975</v>
      </c>
      <c r="F15" s="66" t="str">
        <f>IFERROR(__xludf.DUMMYFUNCTION("GOOGLETRANSLATE(B15,""zh-TW"",""zh-CN"")"),"史诗手套通用材料")</f>
        <v>史诗手套通用材料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/>
      <c r="B16" s="63" t="s">
        <v>976</v>
      </c>
      <c r="C16" s="72" t="s">
        <v>977</v>
      </c>
      <c r="D16" s="6" t="s">
        <v>978</v>
      </c>
      <c r="E16" s="6" t="s">
        <v>979</v>
      </c>
      <c r="F16" s="66" t="str">
        <f>IFERROR(__xludf.DUMMYFUNCTION("GOOGLETRANSLATE(B16,""zh-TW"",""zh-CN"")"),"史诗行囊通用材料")</f>
        <v>史诗行囊通用材料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"/>
      <c r="B17" s="63" t="s">
        <v>980</v>
      </c>
      <c r="C17" s="73" t="s">
        <v>981</v>
      </c>
      <c r="D17" s="6" t="s">
        <v>982</v>
      </c>
      <c r="E17" s="6" t="s">
        <v>983</v>
      </c>
      <c r="F17" s="66" t="str">
        <f>IFERROR(__xludf.DUMMYFUNCTION("GOOGLETRANSLATE(B17,""zh-TW"",""zh-CN"")"),"史诗披风通用材料")</f>
        <v>史诗披风通用材料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"/>
      <c r="B18" s="63" t="s">
        <v>984</v>
      </c>
      <c r="C18" s="72" t="s">
        <v>985</v>
      </c>
      <c r="D18" s="6" t="s">
        <v>986</v>
      </c>
      <c r="E18" s="6" t="s">
        <v>987</v>
      </c>
      <c r="F18" s="66" t="str">
        <f>IFERROR(__xludf.DUMMYFUNCTION("GOOGLETRANSLATE(B18,""zh-TW"",""zh-CN"")"),"史诗武器通用材料")</f>
        <v>史诗武器通用材料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/>
      <c r="B19" s="63" t="s">
        <v>988</v>
      </c>
      <c r="C19" s="72" t="s">
        <v>989</v>
      </c>
      <c r="D19" s="6" t="s">
        <v>990</v>
      </c>
      <c r="E19" s="6" t="s">
        <v>991</v>
      </c>
      <c r="F19" s="66" t="str">
        <f>IFERROR(__xludf.DUMMYFUNCTION("GOOGLETRANSLATE(B19,""zh-TW"",""zh-CN"")"),"史诗帐篷通用材料")</f>
        <v>史诗帐篷通用材料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5"/>
      <c r="B20" s="63" t="s">
        <v>992</v>
      </c>
      <c r="C20" s="72" t="s">
        <v>993</v>
      </c>
      <c r="D20" s="6" t="s">
        <v>994</v>
      </c>
      <c r="E20" s="6" t="s">
        <v>995</v>
      </c>
      <c r="F20" s="66" t="str">
        <f>IFERROR(__xludf.DUMMYFUNCTION("GOOGLETRANSLATE(B20,""zh-TW"",""zh-CN"")"),"史诗灯具通用材料")</f>
        <v>史诗灯具通用材料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5"/>
      <c r="B21" s="63" t="s">
        <v>996</v>
      </c>
      <c r="C21" s="70" t="s">
        <v>997</v>
      </c>
      <c r="D21" s="6" t="s">
        <v>998</v>
      </c>
      <c r="E21" s="6" t="s">
        <v>999</v>
      </c>
      <c r="F21" s="66" t="str">
        <f>IFERROR(__xludf.DUMMYFUNCTION("GOOGLETRANSLATE(B21,""zh-TW"",""zh-CN"")"),"奶油松饼")</f>
        <v>奶油松饼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5"/>
      <c r="B22" s="63" t="s">
        <v>1000</v>
      </c>
      <c r="C22" s="64" t="s">
        <v>1001</v>
      </c>
      <c r="D22" s="6" t="s">
        <v>1002</v>
      </c>
      <c r="E22" s="6" t="s">
        <v>1003</v>
      </c>
      <c r="F22" s="66" t="str">
        <f>IFERROR(__xludf.DUMMYFUNCTION("GOOGLETRANSLATE(B22,""zh-TW"",""zh-CN"")"),"巧克力夹心饼干")</f>
        <v>巧克力夹心饼干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63" t="s">
        <v>1004</v>
      </c>
      <c r="C23" s="68" t="s">
        <v>1005</v>
      </c>
      <c r="D23" s="6" t="s">
        <v>1006</v>
      </c>
      <c r="E23" s="6" t="s">
        <v>1007</v>
      </c>
      <c r="F23" s="66" t="str">
        <f>IFERROR(__xludf.DUMMYFUNCTION("GOOGLETRANSLATE(B23,""zh-TW"",""zh-CN"")"),"永生水母")</f>
        <v>永生水母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63" t="s">
        <v>1008</v>
      </c>
      <c r="C24" s="64" t="s">
        <v>1009</v>
      </c>
      <c r="D24" s="6" t="s">
        <v>1010</v>
      </c>
      <c r="E24" s="6" t="s">
        <v>1011</v>
      </c>
      <c r="F24" s="66" t="str">
        <f>IFERROR(__xludf.DUMMYFUNCTION("GOOGLETRANSLATE(B24,""zh-TW"",""zh-CN"")"),"生菜沙拉")</f>
        <v>生菜沙拉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/>
      <c r="B25" s="63" t="s">
        <v>1012</v>
      </c>
      <c r="C25" s="64" t="s">
        <v>1013</v>
      </c>
      <c r="D25" s="6" t="s">
        <v>1014</v>
      </c>
      <c r="E25" s="6" t="s">
        <v>1015</v>
      </c>
      <c r="F25" s="66" t="str">
        <f>IFERROR(__xludf.DUMMYFUNCTION("GOOGLETRANSLATE(B25,""zh-TW"",""zh-CN"")"),"光之纸：征服")</f>
        <v>光之纸：征服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5"/>
      <c r="B26" s="63" t="s">
        <v>1016</v>
      </c>
      <c r="C26" s="64" t="s">
        <v>1017</v>
      </c>
      <c r="D26" s="6" t="s">
        <v>1018</v>
      </c>
      <c r="E26" s="6" t="s">
        <v>1019</v>
      </c>
      <c r="F26" s="66" t="str">
        <f>IFERROR(__xludf.DUMMYFUNCTION("GOOGLETRANSLATE(B26,""zh-TW"",""zh-CN"")"),"光之纸：梦想")</f>
        <v>光之纸：梦想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/>
      <c r="B27" s="63" t="s">
        <v>1020</v>
      </c>
      <c r="C27" s="68" t="s">
        <v>1021</v>
      </c>
      <c r="D27" s="6" t="s">
        <v>1022</v>
      </c>
      <c r="E27" s="6" t="s">
        <v>1023</v>
      </c>
      <c r="F27" s="66" t="str">
        <f>IFERROR(__xludf.DUMMYFUNCTION("GOOGLETRANSLATE(B27,""zh-TW"",""zh-CN"")"),"光光结晶")</f>
        <v>光光结晶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/>
      <c r="B28" s="37" t="s">
        <v>1024</v>
      </c>
      <c r="C28" s="37" t="s">
        <v>1025</v>
      </c>
      <c r="D28" s="65" t="s">
        <v>1026</v>
      </c>
      <c r="E28" s="6" t="s">
        <v>1027</v>
      </c>
      <c r="F28" s="66" t="str">
        <f>IFERROR(__xludf.DUMMYFUNCTION("GOOGLETRANSLATE(B28,""zh-TW"",""zh-CN"")"),"光球重置药水")</f>
        <v>光球重置药水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/>
      <c r="B29" s="63" t="s">
        <v>1028</v>
      </c>
      <c r="C29" s="74" t="s">
        <v>1029</v>
      </c>
      <c r="D29" s="6" t="s">
        <v>1030</v>
      </c>
      <c r="E29" s="6" t="s">
        <v>1031</v>
      </c>
      <c r="F29" s="66" t="str">
        <f>IFERROR(__xludf.DUMMYFUNCTION("GOOGLETRANSLATE(B29,""zh-TW"",""zh-CN"")"),"光球能量")</f>
        <v>光球能量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63" t="s">
        <v>1032</v>
      </c>
      <c r="C30" s="70" t="s">
        <v>1033</v>
      </c>
      <c r="D30" s="6" t="s">
        <v>1034</v>
      </c>
      <c r="E30" s="6" t="s">
        <v>1035</v>
      </c>
      <c r="F30" s="66" t="str">
        <f>IFERROR(__xludf.DUMMYFUNCTION("GOOGLETRANSLATE(B30,""zh-TW"",""zh-CN"")"),"光铸素材")</f>
        <v>光铸素材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6"/>
      <c r="B31" s="63" t="s">
        <v>1036</v>
      </c>
      <c r="C31" s="68" t="s">
        <v>1037</v>
      </c>
      <c r="D31" s="65" t="s">
        <v>1038</v>
      </c>
      <c r="E31" s="6" t="s">
        <v>1039</v>
      </c>
      <c r="F31" s="66" t="str">
        <f>IFERROR(__xludf.DUMMYFUNCTION("GOOGLETRANSLATE(B31,""zh-TW"",""zh-CN"")"),"共鸣升级光芒")</f>
        <v>共鸣升级光芒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63" t="s">
        <v>1040</v>
      </c>
      <c r="C32" s="64" t="s">
        <v>1041</v>
      </c>
      <c r="D32" s="6" t="s">
        <v>1042</v>
      </c>
      <c r="E32" s="6" t="s">
        <v>1043</v>
      </c>
      <c r="F32" s="66" t="str">
        <f>IFERROR(__xludf.DUMMYFUNCTION("GOOGLETRANSLATE(B32,""zh-TW"",""zh-CN"")"),"冰淇淋")</f>
        <v>冰淇淋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71" t="s">
        <v>1044</v>
      </c>
      <c r="C33" s="64" t="s">
        <v>1045</v>
      </c>
      <c r="D33" s="6" t="s">
        <v>1046</v>
      </c>
      <c r="E33" s="6" t="s">
        <v>1047</v>
      </c>
      <c r="F33" s="66" t="str">
        <f>IFERROR(__xludf.DUMMYFUNCTION("GOOGLETRANSLATE(B33,""zh-TW"",""zh-CN"")"),"冰块")</f>
        <v>冰块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6"/>
      <c r="B34" s="75" t="s">
        <v>1048</v>
      </c>
      <c r="C34" s="68" t="s">
        <v>1049</v>
      </c>
      <c r="D34" s="6" t="s">
        <v>1050</v>
      </c>
      <c r="E34" s="6" t="s">
        <v>1051</v>
      </c>
      <c r="F34" s="66" t="str">
        <f>IFERROR(__xludf.DUMMYFUNCTION("GOOGLETRANSLATE(B34,""zh-TW"",""zh-CN"")"),"守护徽章")</f>
        <v>守护徽章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63" t="s">
        <v>1052</v>
      </c>
      <c r="C35" s="68" t="s">
        <v>1053</v>
      </c>
      <c r="D35" s="6" t="s">
        <v>1054</v>
      </c>
      <c r="E35" s="6" t="s">
        <v>1055</v>
      </c>
      <c r="F35" s="66" t="str">
        <f>IFERROR(__xludf.DUMMYFUNCTION("GOOGLETRANSLATE(B35,""zh-TW"",""zh-CN"")"),"收藏品宝箱钥匙")</f>
        <v>收藏品宝箱钥匙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76" t="s">
        <v>1056</v>
      </c>
      <c r="C36" s="70" t="s">
        <v>1057</v>
      </c>
      <c r="D36" s="6" t="s">
        <v>1058</v>
      </c>
      <c r="E36" s="6" t="s">
        <v>1059</v>
      </c>
      <c r="F36" s="66" t="str">
        <f>IFERROR(__xludf.DUMMYFUNCTION("GOOGLETRANSLATE(B36,""zh-TW"",""zh-CN"")"),"自选光球结晶")</f>
        <v>自选光球结晶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6" t="s">
        <v>1060</v>
      </c>
      <c r="B37" s="73" t="s">
        <v>1061</v>
      </c>
      <c r="C37" s="77" t="s">
        <v>1062</v>
      </c>
      <c r="D37" s="6" t="s">
        <v>1063</v>
      </c>
      <c r="E37" s="6" t="s">
        <v>1064</v>
      </c>
      <c r="F37" s="66" t="str">
        <f>IFERROR(__xludf.DUMMYFUNCTION("GOOGLETRANSLATE(B37,""zh-TW"",""zh-CN"")"),"自选宝箱 - 回忆片段 第1期(精良)")</f>
        <v>自选宝箱 - 回忆片段 第1期(精良)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6" t="s">
        <v>1060</v>
      </c>
      <c r="B38" s="73" t="s">
        <v>1065</v>
      </c>
      <c r="C38" s="77" t="s">
        <v>1066</v>
      </c>
      <c r="D38" s="6" t="s">
        <v>1067</v>
      </c>
      <c r="E38" s="6" t="s">
        <v>1068</v>
      </c>
      <c r="F38" s="66" t="str">
        <f>IFERROR(__xludf.DUMMYFUNCTION("GOOGLETRANSLATE(B38,""zh-TW"",""zh-CN"")"),"自选宝箱 - 回忆片段 第1期(优秀)")</f>
        <v>自选宝箱 - 回忆片段 第1期(优秀)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6" t="s">
        <v>1060</v>
      </c>
      <c r="B39" s="73" t="s">
        <v>1069</v>
      </c>
      <c r="C39" s="77" t="s">
        <v>1070</v>
      </c>
      <c r="D39" s="6" t="s">
        <v>1071</v>
      </c>
      <c r="E39" s="6" t="s">
        <v>1072</v>
      </c>
      <c r="F39" s="66" t="str">
        <f>IFERROR(__xludf.DUMMYFUNCTION("GOOGLETRANSLATE(B39,""zh-TW"",""zh-CN"")"),"自选宝箱 - 回忆片段 第1期(杰出)")</f>
        <v>自选宝箱 - 回忆片段 第1期(杰出)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6" t="s">
        <v>1060</v>
      </c>
      <c r="B40" s="73" t="s">
        <v>1073</v>
      </c>
      <c r="C40" s="77" t="s">
        <v>1074</v>
      </c>
      <c r="D40" s="6" t="s">
        <v>1075</v>
      </c>
      <c r="E40" s="6" t="s">
        <v>1076</v>
      </c>
      <c r="F40" s="66" t="str">
        <f>IFERROR(__xludf.DUMMYFUNCTION("GOOGLETRANSLATE(B40,""zh-TW"",""zh-CN"")"),"自选宝箱 - 回忆片段 第1期(史诗)")</f>
        <v>自选宝箱 - 回忆片段 第1期(史诗)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6" t="s">
        <v>1060</v>
      </c>
      <c r="B41" s="73" t="s">
        <v>1077</v>
      </c>
      <c r="C41" s="77" t="s">
        <v>1078</v>
      </c>
      <c r="D41" s="6" t="s">
        <v>1079</v>
      </c>
      <c r="E41" s="6" t="s">
        <v>1080</v>
      </c>
      <c r="F41" s="66" t="str">
        <f>IFERROR(__xludf.DUMMYFUNCTION("GOOGLETRANSLATE(B41,""zh-TW"",""zh-CN"")"),"自选宝箱 - 回忆片段 第1期(传奇)")</f>
        <v>自选宝箱 - 回忆片段 第1期(传奇)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6" t="s">
        <v>1060</v>
      </c>
      <c r="B42" s="72" t="s">
        <v>1081</v>
      </c>
      <c r="C42" s="78" t="s">
        <v>1082</v>
      </c>
      <c r="D42" s="6" t="s">
        <v>1083</v>
      </c>
      <c r="E42" s="6" t="s">
        <v>1084</v>
      </c>
      <c r="F42" s="66" t="str">
        <f>IFERROR(__xludf.DUMMYFUNCTION("GOOGLETRANSLATE(B42,""zh-TW"",""zh-CN"")"),"自选宝箱 - 收藏品 第1期(普通)")</f>
        <v>自选宝箱 - 收藏品 第1期(普通)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6" t="s">
        <v>1060</v>
      </c>
      <c r="B43" s="72" t="s">
        <v>1085</v>
      </c>
      <c r="C43" s="78" t="s">
        <v>1086</v>
      </c>
      <c r="D43" s="6" t="s">
        <v>1087</v>
      </c>
      <c r="E43" s="6" t="s">
        <v>1088</v>
      </c>
      <c r="F43" s="66" t="str">
        <f>IFERROR(__xludf.DUMMYFUNCTION("GOOGLETRANSLATE(B43,""zh-TW"",""zh-CN"")"),"自选宝箱 - 收藏品 第1期(精良)")</f>
        <v>自选宝箱 - 收藏品 第1期(精良)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6" t="s">
        <v>1060</v>
      </c>
      <c r="B44" s="72" t="s">
        <v>1089</v>
      </c>
      <c r="C44" s="78" t="s">
        <v>1090</v>
      </c>
      <c r="D44" s="6" t="s">
        <v>1091</v>
      </c>
      <c r="E44" s="6" t="s">
        <v>1092</v>
      </c>
      <c r="F44" s="66" t="str">
        <f>IFERROR(__xludf.DUMMYFUNCTION("GOOGLETRANSLATE(B44,""zh-TW"",""zh-CN"")"),"自选宝箱 - 收藏品 第1期(优秀)")</f>
        <v>自选宝箱 - 收藏品 第1期(优秀)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6" t="s">
        <v>1060</v>
      </c>
      <c r="B45" s="72" t="s">
        <v>1093</v>
      </c>
      <c r="C45" s="78" t="s">
        <v>1094</v>
      </c>
      <c r="D45" s="6" t="s">
        <v>1095</v>
      </c>
      <c r="E45" s="6" t="s">
        <v>1096</v>
      </c>
      <c r="F45" s="31" t="s">
        <v>1097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6" t="s">
        <v>1060</v>
      </c>
      <c r="B46" s="72" t="s">
        <v>1098</v>
      </c>
      <c r="C46" s="78" t="s">
        <v>1099</v>
      </c>
      <c r="D46" s="6" t="s">
        <v>1100</v>
      </c>
      <c r="E46" s="6" t="s">
        <v>1101</v>
      </c>
      <c r="F46" s="66" t="str">
        <f>IFERROR(__xludf.DUMMYFUNCTION("GOOGLETRANSLATE(B46,""zh-TW"",""zh-CN"")"),"自选宝箱 - 收藏品 第1期(史诗)")</f>
        <v>自选宝箱 - 收藏品 第1期(史诗)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6" t="s">
        <v>1060</v>
      </c>
      <c r="B47" s="72" t="s">
        <v>1102</v>
      </c>
      <c r="C47" s="78" t="s">
        <v>1103</v>
      </c>
      <c r="D47" s="6" t="s">
        <v>1104</v>
      </c>
      <c r="E47" s="6" t="s">
        <v>1105</v>
      </c>
      <c r="F47" s="66" t="str">
        <f>IFERROR(__xludf.DUMMYFUNCTION("GOOGLETRANSLATE(B47,""zh-TW"",""zh-CN"")"),"自选宝箱 - 收藏品 第1期(传奇)")</f>
        <v>自选宝箱 - 收藏品 第1期(传奇)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6" t="s">
        <v>1060</v>
      </c>
      <c r="B48" s="79" t="s">
        <v>1106</v>
      </c>
      <c r="C48" s="77" t="s">
        <v>1107</v>
      </c>
      <c r="D48" s="6" t="s">
        <v>1108</v>
      </c>
      <c r="E48" s="6" t="s">
        <v>1109</v>
      </c>
      <c r="F48" s="66" t="str">
        <f>IFERROR(__xludf.DUMMYFUNCTION("GOOGLETRANSLATE(B48,""zh-TW"",""zh-CN"")"),"自选宝箱 - 念痕(普通)")</f>
        <v>自选宝箱 - 念痕(普通)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6" t="s">
        <v>1060</v>
      </c>
      <c r="B49" s="79" t="s">
        <v>1110</v>
      </c>
      <c r="C49" s="77" t="s">
        <v>1111</v>
      </c>
      <c r="D49" s="6" t="s">
        <v>1112</v>
      </c>
      <c r="E49" s="6" t="s">
        <v>1113</v>
      </c>
      <c r="F49" s="66" t="str">
        <f>IFERROR(__xludf.DUMMYFUNCTION("GOOGLETRANSLATE(B49,""zh-TW"",""zh-CN"")"),"自选宝箱 - 念痕(精良)")</f>
        <v>自选宝箱 - 念痕(精良)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6" t="s">
        <v>1060</v>
      </c>
      <c r="B50" s="79" t="s">
        <v>1114</v>
      </c>
      <c r="C50" s="77" t="s">
        <v>1115</v>
      </c>
      <c r="D50" s="6" t="s">
        <v>1116</v>
      </c>
      <c r="E50" s="6" t="s">
        <v>1117</v>
      </c>
      <c r="F50" s="66" t="str">
        <f>IFERROR(__xludf.DUMMYFUNCTION("GOOGLETRANSLATE(B50,""zh-TW"",""zh-CN"")"),"自选宝箱 - 念痕(优秀)")</f>
        <v>自选宝箱 - 念痕(优秀)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6" t="s">
        <v>1060</v>
      </c>
      <c r="B51" s="79" t="s">
        <v>1118</v>
      </c>
      <c r="C51" s="77" t="s">
        <v>1119</v>
      </c>
      <c r="D51" s="6" t="s">
        <v>1120</v>
      </c>
      <c r="E51" s="6" t="s">
        <v>1121</v>
      </c>
      <c r="F51" s="66" t="str">
        <f>IFERROR(__xludf.DUMMYFUNCTION("GOOGLETRANSLATE(B51,""zh-TW"",""zh-CN"")"),"自选宝箱 - 念痕(杰出)")</f>
        <v>自选宝箱 - 念痕(杰出)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6" t="s">
        <v>1060</v>
      </c>
      <c r="B52" s="79" t="s">
        <v>1122</v>
      </c>
      <c r="C52" s="77" t="s">
        <v>1123</v>
      </c>
      <c r="D52" s="6" t="s">
        <v>1124</v>
      </c>
      <c r="E52" s="6" t="s">
        <v>1125</v>
      </c>
      <c r="F52" s="66" t="str">
        <f>IFERROR(__xludf.DUMMYFUNCTION("GOOGLETRANSLATE(B52,""zh-TW"",""zh-CN"")"),"自选宝箱 - 念痕(史诗)")</f>
        <v>自选宝箱 - 念痕(史诗)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6" t="s">
        <v>1060</v>
      </c>
      <c r="B53" s="79" t="s">
        <v>1126</v>
      </c>
      <c r="C53" s="77" t="s">
        <v>1127</v>
      </c>
      <c r="D53" s="6" t="s">
        <v>1128</v>
      </c>
      <c r="E53" s="6" t="s">
        <v>1129</v>
      </c>
      <c r="F53" s="66" t="str">
        <f>IFERROR(__xludf.DUMMYFUNCTION("GOOGLETRANSLATE(B53,""zh-TW"",""zh-CN"")"),"自选宝箱 - 念痕(传奇)")</f>
        <v>自选宝箱 - 念痕(传奇)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6" t="s">
        <v>1060</v>
      </c>
      <c r="B54" s="80" t="s">
        <v>1130</v>
      </c>
      <c r="C54" s="77" t="s">
        <v>1131</v>
      </c>
      <c r="D54" s="81" t="s">
        <v>1132</v>
      </c>
      <c r="E54" s="6" t="s">
        <v>1133</v>
      </c>
      <c r="F54" s="66" t="str">
        <f>IFERROR(__xludf.DUMMYFUNCTION("GOOGLETRANSLATE(B54,""zh-TW"",""zh-CN"")"),"自选宝箱 - 旅伴伙食(优秀)")</f>
        <v>自选宝箱 - 旅伴伙食(优秀)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6" t="s">
        <v>1060</v>
      </c>
      <c r="B55" s="80" t="s">
        <v>1134</v>
      </c>
      <c r="C55" s="77" t="s">
        <v>1135</v>
      </c>
      <c r="D55" s="81" t="s">
        <v>1136</v>
      </c>
      <c r="E55" s="6" t="s">
        <v>1137</v>
      </c>
      <c r="F55" s="66" t="str">
        <f>IFERROR(__xludf.DUMMYFUNCTION("GOOGLETRANSLATE(B55,""zh-TW"",""zh-CN"")"),"自选宝箱 - 旅伴伙食(杰出)")</f>
        <v>自选宝箱 - 旅伴伙食(杰出)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6" t="s">
        <v>1060</v>
      </c>
      <c r="B56" s="80" t="s">
        <v>1138</v>
      </c>
      <c r="C56" s="77" t="s">
        <v>1139</v>
      </c>
      <c r="D56" s="81" t="s">
        <v>1140</v>
      </c>
      <c r="E56" s="6" t="s">
        <v>1141</v>
      </c>
      <c r="F56" s="66" t="str">
        <f>IFERROR(__xludf.DUMMYFUNCTION("GOOGLETRANSLATE(B56,""zh-TW"",""zh-CN"")"),"自选宝箱 - 旅伴伙食(史诗)")</f>
        <v>自选宝箱 - 旅伴伙食(史诗)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6" t="s">
        <v>1060</v>
      </c>
      <c r="B57" s="80" t="s">
        <v>1142</v>
      </c>
      <c r="C57" s="77" t="s">
        <v>1143</v>
      </c>
      <c r="D57" s="81" t="s">
        <v>1144</v>
      </c>
      <c r="E57" s="6" t="s">
        <v>1145</v>
      </c>
      <c r="F57" s="66" t="str">
        <f>IFERROR(__xludf.DUMMYFUNCTION("GOOGLETRANSLATE(B57,""zh-TW"",""zh-CN"")"),"自选宝箱 - 旅伴伙食(传奇)")</f>
        <v>自选宝箱 - 旅伴伙食(传奇)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6" t="s">
        <v>1060</v>
      </c>
      <c r="B58" s="79" t="s">
        <v>1146</v>
      </c>
      <c r="C58" s="77" t="s">
        <v>1147</v>
      </c>
      <c r="D58" s="81" t="s">
        <v>1148</v>
      </c>
      <c r="E58" s="6" t="s">
        <v>1149</v>
      </c>
      <c r="F58" s="66" t="str">
        <f>IFERROR(__xludf.DUMMYFUNCTION("GOOGLETRANSLATE(B58,""zh-TW"",""zh-CN"")"),"自选宝箱 - 旅伴(普通)")</f>
        <v>自选宝箱 - 旅伴(普通)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6" t="s">
        <v>1060</v>
      </c>
      <c r="B59" s="79" t="s">
        <v>1150</v>
      </c>
      <c r="C59" s="77" t="s">
        <v>1151</v>
      </c>
      <c r="D59" s="81" t="s">
        <v>1152</v>
      </c>
      <c r="E59" s="6" t="s">
        <v>1153</v>
      </c>
      <c r="F59" s="66" t="str">
        <f>IFERROR(__xludf.DUMMYFUNCTION("GOOGLETRANSLATE(B59,""zh-TW"",""zh-CN"")"),"自选宝箱 - 旅伴(精良)")</f>
        <v>自选宝箱 - 旅伴(精良)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6" t="s">
        <v>1060</v>
      </c>
      <c r="B60" s="79" t="s">
        <v>1154</v>
      </c>
      <c r="C60" s="77" t="s">
        <v>1155</v>
      </c>
      <c r="D60" s="81" t="s">
        <v>1156</v>
      </c>
      <c r="E60" s="6" t="s">
        <v>1157</v>
      </c>
      <c r="F60" s="66" t="str">
        <f>IFERROR(__xludf.DUMMYFUNCTION("GOOGLETRANSLATE(B60,""zh-TW"",""zh-CN"")"),"自选宝箱 - 旅伴(优秀)")</f>
        <v>自选宝箱 - 旅伴(优秀)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6" t="s">
        <v>1060</v>
      </c>
      <c r="B61" s="79" t="s">
        <v>1158</v>
      </c>
      <c r="C61" s="77" t="s">
        <v>1159</v>
      </c>
      <c r="D61" s="81" t="s">
        <v>1160</v>
      </c>
      <c r="E61" s="6" t="s">
        <v>1161</v>
      </c>
      <c r="F61" s="66" t="str">
        <f>IFERROR(__xludf.DUMMYFUNCTION("GOOGLETRANSLATE(B61,""zh-TW"",""zh-CN"")"),"自选宝箱 - 旅伴(杰出)")</f>
        <v>自选宝箱 - 旅伴(杰出)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6" t="s">
        <v>1060</v>
      </c>
      <c r="B62" s="79" t="s">
        <v>1162</v>
      </c>
      <c r="C62" s="77" t="s">
        <v>1163</v>
      </c>
      <c r="D62" s="81" t="s">
        <v>1164</v>
      </c>
      <c r="E62" s="6" t="s">
        <v>1165</v>
      </c>
      <c r="F62" s="66" t="str">
        <f>IFERROR(__xludf.DUMMYFUNCTION("GOOGLETRANSLATE(B62,""zh-TW"",""zh-CN"")"),"自选宝箱 - 旅伴(史诗)")</f>
        <v>自选宝箱 - 旅伴(史诗)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6" t="s">
        <v>1060</v>
      </c>
      <c r="B63" s="79" t="s">
        <v>1166</v>
      </c>
      <c r="C63" s="77" t="s">
        <v>1167</v>
      </c>
      <c r="D63" s="81" t="s">
        <v>1168</v>
      </c>
      <c r="E63" s="6" t="s">
        <v>1161</v>
      </c>
      <c r="F63" s="66" t="str">
        <f>IFERROR(__xludf.DUMMYFUNCTION("GOOGLETRANSLATE(B63,""zh-TW"",""zh-CN"")"),"自选宝箱 - 旅伴(传奇)")</f>
        <v>自选宝箱 - 旅伴(传奇)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6" t="s">
        <v>1060</v>
      </c>
      <c r="B64" s="70" t="s">
        <v>1169</v>
      </c>
      <c r="C64" s="70" t="s">
        <v>1170</v>
      </c>
      <c r="D64" s="6" t="s">
        <v>1171</v>
      </c>
      <c r="E64" s="6" t="s">
        <v>1172</v>
      </c>
      <c r="F64" s="66" t="str">
        <f>IFERROR(__xludf.DUMMYFUNCTION("GOOGLETRANSLATE(B64,""zh-TW"",""zh-CN"")"),"自选宝箱 - 光铸材料")</f>
        <v>自选宝箱 - 光铸材料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6" t="s">
        <v>1060</v>
      </c>
      <c r="B65" s="73" t="s">
        <v>1173</v>
      </c>
      <c r="C65" s="70" t="s">
        <v>1174</v>
      </c>
      <c r="D65" s="6" t="s">
        <v>1175</v>
      </c>
      <c r="E65" s="82" t="s">
        <v>1176</v>
      </c>
      <c r="F65" s="66" t="str">
        <f>IFERROR(__xludf.DUMMYFUNCTION("GOOGLETRANSLATE(B65,""zh-TW"",""zh-CN"")"),"自选宝箱 - 高级材料")</f>
        <v>自选宝箱 - 高级材料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6" t="s">
        <v>1060</v>
      </c>
      <c r="B66" s="72" t="s">
        <v>1177</v>
      </c>
      <c r="C66" s="83" t="s">
        <v>1178</v>
      </c>
      <c r="D66" s="81" t="s">
        <v>1179</v>
      </c>
      <c r="E66" s="6" t="s">
        <v>1180</v>
      </c>
      <c r="F66" s="66" t="str">
        <f>IFERROR(__xludf.DUMMYFUNCTION("GOOGLETRANSLATE(B66,""zh-TW"",""zh-CN"")"),"自选宝箱 - 装备(普通)")</f>
        <v>自选宝箱 - 装备(普通)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6" t="s">
        <v>1060</v>
      </c>
      <c r="B67" s="72" t="s">
        <v>1181</v>
      </c>
      <c r="C67" s="83" t="s">
        <v>1182</v>
      </c>
      <c r="D67" s="81" t="s">
        <v>1183</v>
      </c>
      <c r="E67" s="6" t="s">
        <v>1184</v>
      </c>
      <c r="F67" s="66" t="str">
        <f>IFERROR(__xludf.DUMMYFUNCTION("GOOGLETRANSLATE(B67,""zh-TW"",""zh-CN"")"),"自选宝箱 - 装备(精良)")</f>
        <v>自选宝箱 - 装备(精良)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6" t="s">
        <v>1060</v>
      </c>
      <c r="B68" s="72" t="s">
        <v>1185</v>
      </c>
      <c r="C68" s="83" t="s">
        <v>1186</v>
      </c>
      <c r="D68" s="81" t="s">
        <v>1187</v>
      </c>
      <c r="E68" s="6" t="s">
        <v>1188</v>
      </c>
      <c r="F68" s="66" t="str">
        <f>IFERROR(__xludf.DUMMYFUNCTION("GOOGLETRANSLATE(B68,""zh-TW"",""zh-CN"")"),"自选宝箱 - 装备(优秀)")</f>
        <v>自选宝箱 - 装备(优秀)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6" t="s">
        <v>1060</v>
      </c>
      <c r="B69" s="72" t="s">
        <v>1189</v>
      </c>
      <c r="C69" s="83" t="s">
        <v>1190</v>
      </c>
      <c r="D69" s="81" t="s">
        <v>1191</v>
      </c>
      <c r="E69" s="6" t="s">
        <v>1192</v>
      </c>
      <c r="F69" s="66" t="str">
        <f>IFERROR(__xludf.DUMMYFUNCTION("GOOGLETRANSLATE(B69,""zh-TW"",""zh-CN"")"),"自选宝箱 - 装备(杰出)")</f>
        <v>自选宝箱 - 装备(杰出)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6" t="s">
        <v>1060</v>
      </c>
      <c r="B70" s="72" t="s">
        <v>1193</v>
      </c>
      <c r="C70" s="83" t="s">
        <v>1194</v>
      </c>
      <c r="D70" s="81" t="s">
        <v>1195</v>
      </c>
      <c r="E70" s="6" t="s">
        <v>1196</v>
      </c>
      <c r="F70" s="66" t="str">
        <f>IFERROR(__xludf.DUMMYFUNCTION("GOOGLETRANSLATE(B70,""zh-TW"",""zh-CN"")"),"自选宝箱 - 装备(史诗)")</f>
        <v>自选宝箱 - 装备(史诗)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6" t="s">
        <v>1060</v>
      </c>
      <c r="B71" s="72" t="s">
        <v>1197</v>
      </c>
      <c r="C71" s="83" t="s">
        <v>1198</v>
      </c>
      <c r="D71" s="81" t="s">
        <v>1199</v>
      </c>
      <c r="E71" s="6" t="s">
        <v>1192</v>
      </c>
      <c r="F71" s="66" t="str">
        <f>IFERROR(__xludf.DUMMYFUNCTION("GOOGLETRANSLATE(B71,""zh-TW"",""zh-CN"")"),"自选宝箱 - 装备(传奇)")</f>
        <v>自选宝箱 - 装备(传奇)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6"/>
      <c r="B72" s="63" t="s">
        <v>1200</v>
      </c>
      <c r="C72" s="83" t="s">
        <v>1201</v>
      </c>
      <c r="D72" s="6" t="s">
        <v>1202</v>
      </c>
      <c r="E72" s="6" t="s">
        <v>1203</v>
      </c>
      <c r="F72" s="66" t="str">
        <f>IFERROR(__xludf.DUMMYFUNCTION("GOOGLETRANSLATE(B72,""zh-TW"",""zh-CN"")"),"行囊图纸")</f>
        <v>行囊图纸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6"/>
      <c r="B73" s="75" t="s">
        <v>1204</v>
      </c>
      <c r="C73" s="68" t="s">
        <v>1205</v>
      </c>
      <c r="D73" s="6" t="s">
        <v>1206</v>
      </c>
      <c r="E73" s="6" t="s">
        <v>1207</v>
      </c>
      <c r="F73" s="66" t="str">
        <f>IFERROR(__xludf.DUMMYFUNCTION("GOOGLETRANSLATE(B73,""zh-TW"",""zh-CN"")"),"完美守护徽章")</f>
        <v>完美守护徽章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63" t="s">
        <v>1208</v>
      </c>
      <c r="C74" s="68" t="s">
        <v>1209</v>
      </c>
      <c r="D74" s="6" t="s">
        <v>1210</v>
      </c>
      <c r="E74" s="6" t="s">
        <v>1211</v>
      </c>
      <c r="F74" s="66" t="str">
        <f>IFERROR(__xludf.DUMMYFUNCTION("GOOGLETRANSLATE(B74,""zh-TW"",""zh-CN"")"),"呼呼结晶")</f>
        <v>呼呼结晶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63" t="s">
        <v>1212</v>
      </c>
      <c r="C75" s="68" t="s">
        <v>1213</v>
      </c>
      <c r="D75" s="6" t="s">
        <v>1214</v>
      </c>
      <c r="E75" s="6" t="s">
        <v>1215</v>
      </c>
      <c r="F75" s="66" t="str">
        <f>IFERROR(__xludf.DUMMYFUNCTION("GOOGLETRANSLATE(B75,""zh-TW"",""zh-CN"")"),"念痕宝箱钥匙")</f>
        <v>念痕宝箱钥匙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6"/>
      <c r="B76" s="63" t="s">
        <v>1216</v>
      </c>
      <c r="C76" s="68" t="s">
        <v>1217</v>
      </c>
      <c r="D76" s="6" t="s">
        <v>1218</v>
      </c>
      <c r="E76" s="6" t="s">
        <v>1219</v>
      </c>
      <c r="F76" s="66" t="str">
        <f>IFERROR(__xludf.DUMMYFUNCTION("GOOGLETRANSLATE(B76,""zh-TW"",""zh-CN"")"),"披风图纸")</f>
        <v>披风图纸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6"/>
      <c r="B77" s="63" t="s">
        <v>1220</v>
      </c>
      <c r="C77" s="68" t="s">
        <v>1221</v>
      </c>
      <c r="D77" s="6" t="s">
        <v>1222</v>
      </c>
      <c r="E77" s="6" t="s">
        <v>1223</v>
      </c>
      <c r="F77" s="66" t="str">
        <f>IFERROR(__xludf.DUMMYFUNCTION("GOOGLETRANSLATE(B77,""zh-TW"",""zh-CN"")"),"武器图纸")</f>
        <v>武器图纸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63" t="s">
        <v>1224</v>
      </c>
      <c r="C78" s="68" t="s">
        <v>1225</v>
      </c>
      <c r="D78" s="6" t="s">
        <v>1226</v>
      </c>
      <c r="E78" s="6" t="s">
        <v>1227</v>
      </c>
      <c r="F78" s="66" t="str">
        <f>IFERROR(__xludf.DUMMYFUNCTION("GOOGLETRANSLATE(B78,""zh-TW"",""zh-CN"")"),"歧路之择扫荡券")</f>
        <v>歧路之择扫荡券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6"/>
      <c r="B79" s="75" t="s">
        <v>1228</v>
      </c>
      <c r="C79" s="68" t="s">
        <v>1229</v>
      </c>
      <c r="D79" s="6" t="s">
        <v>1230</v>
      </c>
      <c r="E79" s="6" t="s">
        <v>1231</v>
      </c>
      <c r="F79" s="66" t="str">
        <f>IFERROR(__xludf.DUMMYFUNCTION("GOOGLETRANSLATE(B79,""zh-TW"",""zh-CN"")"),"歧路币")</f>
        <v>歧路币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71" t="s">
        <v>1232</v>
      </c>
      <c r="C80" s="64" t="s">
        <v>1233</v>
      </c>
      <c r="D80" s="6" t="s">
        <v>1232</v>
      </c>
      <c r="E80" s="6" t="s">
        <v>1234</v>
      </c>
      <c r="F80" s="66" t="str">
        <f>IFERROR(__xludf.DUMMYFUNCTION("GOOGLETRANSLATE(B80,""zh-TW"",""zh-CN"")"),"金鱼")</f>
        <v>金鱼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6"/>
      <c r="B81" s="84" t="s">
        <v>1235</v>
      </c>
      <c r="C81" s="74" t="s">
        <v>1236</v>
      </c>
      <c r="D81" s="6" t="s">
        <v>1237</v>
      </c>
      <c r="E81" s="6" t="s">
        <v>1238</v>
      </c>
      <c r="F81" s="66" t="str">
        <f>IFERROR(__xludf.DUMMYFUNCTION("GOOGLETRANSLATE(B81,""zh-TW"",""zh-CN"")"),"金币")</f>
        <v>金币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37" t="s">
        <v>1239</v>
      </c>
      <c r="C82" s="70" t="s">
        <v>1240</v>
      </c>
      <c r="D82" s="6" t="s">
        <v>1241</v>
      </c>
      <c r="E82" s="6" t="s">
        <v>1242</v>
      </c>
      <c r="F82" s="66" t="str">
        <f>IFERROR(__xludf.DUMMYFUNCTION("GOOGLETRANSLATE(B82,""zh-TW"",""zh-CN"")"),"金币秘窟入场券")</f>
        <v>金币秘窟入场券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6"/>
      <c r="B83" s="63" t="s">
        <v>1243</v>
      </c>
      <c r="C83" s="68" t="s">
        <v>1244</v>
      </c>
      <c r="D83" s="6" t="s">
        <v>1243</v>
      </c>
      <c r="E83" s="6" t="s">
        <v>1245</v>
      </c>
      <c r="F83" s="66" t="str">
        <f>IFERROR(__xludf.DUMMYFUNCTION("GOOGLETRANSLATE(B83,""zh-TW"",""zh-CN"")"),"星辉")</f>
        <v>星辉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71" t="s">
        <v>1246</v>
      </c>
      <c r="C84" s="64" t="s">
        <v>1247</v>
      </c>
      <c r="D84" s="6" t="s">
        <v>1248</v>
      </c>
      <c r="E84" s="6"/>
      <c r="F84" s="66" t="str">
        <f>IFERROR(__xludf.DUMMYFUNCTION("GOOGLETRANSLATE(B84,""zh-TW"",""zh-CN"")"),"美味果冻")</f>
        <v>美味果冻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63" t="s">
        <v>1249</v>
      </c>
      <c r="C85" s="64" t="s">
        <v>1250</v>
      </c>
      <c r="D85" s="6" t="s">
        <v>1251</v>
      </c>
      <c r="E85" s="6" t="s">
        <v>1252</v>
      </c>
      <c r="F85" s="66" t="str">
        <f>IFERROR(__xludf.DUMMYFUNCTION("GOOGLETRANSLATE(B85,""zh-TW"",""zh-CN"")"),"烤玉米")</f>
        <v>烤玉米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6" t="s">
        <v>1060</v>
      </c>
      <c r="B86" s="75" t="s">
        <v>1253</v>
      </c>
      <c r="C86" s="68" t="s">
        <v>1254</v>
      </c>
      <c r="D86" s="6" t="s">
        <v>1255</v>
      </c>
      <c r="E86" s="6" t="s">
        <v>1256</v>
      </c>
      <c r="F86" s="66" t="str">
        <f>IFERROR(__xludf.DUMMYFUNCTION("GOOGLETRANSLATE(B86,""zh-TW"",""zh-CN"")"),"烤棉花糖")</f>
        <v>烤棉花糖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63" t="s">
        <v>1257</v>
      </c>
      <c r="C87" s="64" t="s">
        <v>1258</v>
      </c>
      <c r="D87" s="6" t="s">
        <v>1259</v>
      </c>
      <c r="E87" s="6" t="s">
        <v>1260</v>
      </c>
      <c r="F87" s="66" t="str">
        <f>IFERROR(__xludf.DUMMYFUNCTION("GOOGLETRANSLATE(B87,""zh-TW"",""zh-CN"")"),"烤辣椒")</f>
        <v>烤辣椒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63" t="s">
        <v>1261</v>
      </c>
      <c r="C88" s="68" t="s">
        <v>1262</v>
      </c>
      <c r="D88" s="85" t="s">
        <v>1263</v>
      </c>
      <c r="E88" s="6" t="s">
        <v>1264</v>
      </c>
      <c r="F88" s="66" t="str">
        <f>IFERROR(__xludf.DUMMYFUNCTION("GOOGLETRANSLATE(B88,""zh-TW"",""zh-CN"")"),"神奇的香菇")</f>
        <v>神奇的香菇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63" t="s">
        <v>1265</v>
      </c>
      <c r="C89" s="70" t="s">
        <v>1266</v>
      </c>
      <c r="D89" s="6" t="s">
        <v>1267</v>
      </c>
      <c r="E89" s="6" t="s">
        <v>1268</v>
      </c>
      <c r="F89" s="66" t="str">
        <f>IFERROR(__xludf.DUMMYFUNCTION("GOOGLETRANSLATE(B89,""zh-TW"",""zh-CN"")"),"神器光铸素材")</f>
        <v>神器光铸素材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37" t="s">
        <v>1269</v>
      </c>
      <c r="C90" s="74" t="s">
        <v>1270</v>
      </c>
      <c r="D90" s="6" t="s">
        <v>1271</v>
      </c>
      <c r="E90" s="6" t="s">
        <v>1272</v>
      </c>
      <c r="F90" s="66" t="str">
        <f>IFERROR(__xludf.DUMMYFUNCTION("GOOGLETRANSLATE(B90,""zh-TW"",""zh-CN"")"),"高级装备钥匙")</f>
        <v>高级装备钥匙</v>
      </c>
      <c r="G90" s="31" t="s">
        <v>1273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6"/>
      <c r="B91" s="63" t="s">
        <v>1274</v>
      </c>
      <c r="C91" s="68" t="s">
        <v>1275</v>
      </c>
      <c r="D91" s="6" t="s">
        <v>1276</v>
      </c>
      <c r="E91" s="6" t="s">
        <v>1277</v>
      </c>
      <c r="F91" s="66" t="str">
        <f>IFERROR(__xludf.DUMMYFUNCTION("GOOGLETRANSLATE(B91,""zh-TW"",""zh-CN"")"),"帐篷图纸")</f>
        <v>帐篷图纸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6" t="s">
        <v>1060</v>
      </c>
      <c r="B92" s="37" t="s">
        <v>1278</v>
      </c>
      <c r="C92" s="70" t="s">
        <v>1279</v>
      </c>
      <c r="D92" s="6" t="s">
        <v>1280</v>
      </c>
      <c r="E92" s="6" t="s">
        <v>1281</v>
      </c>
      <c r="F92" s="66" t="str">
        <f>IFERROR(__xludf.DUMMYFUNCTION("GOOGLETRANSLATE(B92,""zh-TW"",""zh-CN"")"),"木质宝箱")</f>
        <v>木质宝箱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6" t="s">
        <v>1060</v>
      </c>
      <c r="B93" s="37" t="s">
        <v>1282</v>
      </c>
      <c r="C93" s="70" t="s">
        <v>1283</v>
      </c>
      <c r="D93" s="6" t="s">
        <v>1284</v>
      </c>
      <c r="E93" s="6" t="s">
        <v>1285</v>
      </c>
      <c r="F93" s="66" t="str">
        <f>IFERROR(__xludf.DUMMYFUNCTION("GOOGLETRANSLATE(B93,""zh-TW"",""zh-CN"")"),"白银宝箱")</f>
        <v>白银宝箱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6" t="s">
        <v>1060</v>
      </c>
      <c r="B94" s="37" t="s">
        <v>1286</v>
      </c>
      <c r="C94" s="70" t="s">
        <v>1287</v>
      </c>
      <c r="D94" s="6" t="s">
        <v>1288</v>
      </c>
      <c r="E94" s="6" t="s">
        <v>1289</v>
      </c>
      <c r="F94" s="66" t="str">
        <f>IFERROR(__xludf.DUMMYFUNCTION("GOOGLETRANSLATE(B94,""zh-TW"",""zh-CN"")"),"黄金宝箱")</f>
        <v>黄金宝箱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6" t="s">
        <v>1060</v>
      </c>
      <c r="B95" s="37" t="s">
        <v>1290</v>
      </c>
      <c r="C95" s="70" t="s">
        <v>1291</v>
      </c>
      <c r="D95" s="6" t="s">
        <v>1292</v>
      </c>
      <c r="E95" s="6" t="s">
        <v>1293</v>
      </c>
      <c r="F95" s="66" t="str">
        <f>IFERROR(__xludf.DUMMYFUNCTION("GOOGLETRANSLATE(B95,""zh-TW"",""zh-CN"")"),"紫钻宝箱")</f>
        <v>紫钻宝箱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6" t="s">
        <v>1060</v>
      </c>
      <c r="B96" s="37" t="s">
        <v>1294</v>
      </c>
      <c r="C96" s="70" t="s">
        <v>1295</v>
      </c>
      <c r="D96" s="6" t="s">
        <v>1296</v>
      </c>
      <c r="E96" s="6" t="s">
        <v>1297</v>
      </c>
      <c r="F96" s="66" t="str">
        <f>IFERROR(__xludf.DUMMYFUNCTION("GOOGLETRANSLATE(B96,""zh-TW"",""zh-CN"")"),"彩钻宝箱")</f>
        <v>彩钻宝箱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6" t="s">
        <v>1060</v>
      </c>
      <c r="B97" s="72" t="s">
        <v>1298</v>
      </c>
      <c r="C97" s="64" t="s">
        <v>1299</v>
      </c>
      <c r="D97" s="81" t="s">
        <v>1300</v>
      </c>
      <c r="E97" s="6" t="s">
        <v>1301</v>
      </c>
      <c r="F97" s="66" t="str">
        <f>IFERROR(__xludf.DUMMYFUNCTION("GOOGLETRANSLATE(B97,""zh-TW"",""zh-CN"")"),"进化材料 - 敏感旅伴(杰出)")</f>
        <v>进化材料 - 敏感旅伴(杰出)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6" t="s">
        <v>1060</v>
      </c>
      <c r="B98" s="72" t="s">
        <v>1302</v>
      </c>
      <c r="C98" s="64" t="s">
        <v>1303</v>
      </c>
      <c r="D98" s="81" t="s">
        <v>1304</v>
      </c>
      <c r="E98" s="6" t="s">
        <v>1305</v>
      </c>
      <c r="F98" s="66" t="str">
        <f>IFERROR(__xludf.DUMMYFUNCTION("GOOGLETRANSLATE(B98,""zh-TW"",""zh-CN"")"),"进化材料 - 敏感旅伴(史诗)")</f>
        <v>进化材料 - 敏感旅伴(史诗)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6" t="s">
        <v>1060</v>
      </c>
      <c r="B99" s="72" t="s">
        <v>1306</v>
      </c>
      <c r="C99" s="64" t="s">
        <v>1307</v>
      </c>
      <c r="D99" s="81" t="s">
        <v>1308</v>
      </c>
      <c r="E99" s="6" t="s">
        <v>1309</v>
      </c>
      <c r="F99" s="66" t="str">
        <f>IFERROR(__xludf.DUMMYFUNCTION("GOOGLETRANSLATE(B99,""zh-TW"",""zh-CN"")"),"进化材料 - 敏感旅伴(传奇)")</f>
        <v>进化材料 - 敏感旅伴(传奇)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6" t="s">
        <v>1060</v>
      </c>
      <c r="B100" s="72" t="s">
        <v>1310</v>
      </c>
      <c r="C100" s="72" t="s">
        <v>1311</v>
      </c>
      <c r="D100" s="81" t="s">
        <v>1312</v>
      </c>
      <c r="E100" s="6" t="s">
        <v>1313</v>
      </c>
      <c r="F100" s="66" t="str">
        <f>IFERROR(__xludf.DUMMYFUNCTION("GOOGLETRANSLATE(B100,""zh-TW"",""zh-CN"")"),"进化材料 - 暖心旅伴(杰出)")</f>
        <v>进化材料 - 暖心旅伴(杰出)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6" t="s">
        <v>1060</v>
      </c>
      <c r="B101" s="72" t="s">
        <v>1314</v>
      </c>
      <c r="C101" s="72" t="s">
        <v>1315</v>
      </c>
      <c r="D101" s="81" t="s">
        <v>1316</v>
      </c>
      <c r="E101" s="6" t="s">
        <v>1317</v>
      </c>
      <c r="F101" s="66" t="str">
        <f>IFERROR(__xludf.DUMMYFUNCTION("GOOGLETRANSLATE(B101,""zh-TW"",""zh-CN"")"),"进化材料 - 暖心旅伴(史诗)")</f>
        <v>进化材料 - 暖心旅伴(史诗)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6" t="s">
        <v>1060</v>
      </c>
      <c r="B102" s="72" t="s">
        <v>1318</v>
      </c>
      <c r="C102" s="72" t="s">
        <v>1319</v>
      </c>
      <c r="D102" s="81" t="s">
        <v>1320</v>
      </c>
      <c r="E102" s="6" t="s">
        <v>1321</v>
      </c>
      <c r="F102" s="66" t="str">
        <f>IFERROR(__xludf.DUMMYFUNCTION("GOOGLETRANSLATE(B102,""zh-TW"",""zh-CN"")"),"进化材料 - 暖心旅伴(传奇)")</f>
        <v>进化材料 - 暖心旅伴(传奇)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6" t="s">
        <v>1060</v>
      </c>
      <c r="B103" s="72" t="s">
        <v>1322</v>
      </c>
      <c r="C103" s="72" t="s">
        <v>1323</v>
      </c>
      <c r="D103" s="81" t="s">
        <v>1324</v>
      </c>
      <c r="E103" s="6" t="s">
        <v>1325</v>
      </c>
      <c r="F103" s="66" t="str">
        <f>IFERROR(__xludf.DUMMYFUNCTION("GOOGLETRANSLATE(B103,""zh-TW"",""zh-CN"")"),"进化材料 - 激进旅伴(杰出)")</f>
        <v>进化材料 - 激进旅伴(杰出)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6" t="s">
        <v>1060</v>
      </c>
      <c r="B104" s="72" t="s">
        <v>1326</v>
      </c>
      <c r="C104" s="72" t="s">
        <v>1327</v>
      </c>
      <c r="D104" s="81" t="s">
        <v>1328</v>
      </c>
      <c r="E104" s="6" t="s">
        <v>1329</v>
      </c>
      <c r="F104" s="66" t="str">
        <f>IFERROR(__xludf.DUMMYFUNCTION("GOOGLETRANSLATE(B104,""zh-TW"",""zh-CN"")"),"进化材料 - 激进旅伴(史诗)")</f>
        <v>进化材料 - 激进旅伴(史诗)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6" t="s">
        <v>1060</v>
      </c>
      <c r="B105" s="72" t="s">
        <v>1330</v>
      </c>
      <c r="C105" s="72" t="s">
        <v>1331</v>
      </c>
      <c r="D105" s="81" t="s">
        <v>1332</v>
      </c>
      <c r="E105" s="6" t="s">
        <v>1333</v>
      </c>
      <c r="F105" s="66" t="str">
        <f>IFERROR(__xludf.DUMMYFUNCTION("GOOGLETRANSLATE(B105,""zh-TW"",""zh-CN"")"),"进化材料 - 激进旅伴(传奇)")</f>
        <v>进化材料 - 激进旅伴(传奇)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6" t="s">
        <v>1060</v>
      </c>
      <c r="B106" s="72" t="s">
        <v>1334</v>
      </c>
      <c r="C106" s="72" t="s">
        <v>1335</v>
      </c>
      <c r="D106" s="81" t="s">
        <v>1336</v>
      </c>
      <c r="E106" s="6" t="s">
        <v>1337</v>
      </c>
      <c r="F106" s="66" t="str">
        <f>IFERROR(__xludf.DUMMYFUNCTION("GOOGLETRANSLATE(B106,""zh-TW"",""zh-CN"")"),"进化材料 - 静默旅伴(杰出)")</f>
        <v>进化材料 - 静默旅伴(杰出)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6" t="s">
        <v>1060</v>
      </c>
      <c r="B107" s="72" t="s">
        <v>1338</v>
      </c>
      <c r="C107" s="72" t="s">
        <v>1339</v>
      </c>
      <c r="D107" s="81" t="s">
        <v>1340</v>
      </c>
      <c r="E107" s="6" t="s">
        <v>1341</v>
      </c>
      <c r="F107" s="66" t="str">
        <f>IFERROR(__xludf.DUMMYFUNCTION("GOOGLETRANSLATE(B107,""zh-TW"",""zh-CN"")"),"进化材料 - 静默旅伴(史诗)")</f>
        <v>进化材料 - 静默旅伴(史诗)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6" t="s">
        <v>1060</v>
      </c>
      <c r="B108" s="72" t="s">
        <v>1342</v>
      </c>
      <c r="C108" s="72" t="s">
        <v>1343</v>
      </c>
      <c r="D108" s="81" t="s">
        <v>1344</v>
      </c>
      <c r="E108" s="6" t="s">
        <v>1345</v>
      </c>
      <c r="F108" s="66" t="str">
        <f>IFERROR(__xludf.DUMMYFUNCTION("GOOGLETRANSLATE(B108,""zh-TW"",""zh-CN"")"),"进化材料 - 静默旅伴(传奇)")</f>
        <v>进化材料 - 静默旅伴(传奇)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6"/>
      <c r="B109" s="67" t="s">
        <v>1346</v>
      </c>
      <c r="C109" s="68" t="s">
        <v>1347</v>
      </c>
      <c r="D109" s="6" t="s">
        <v>1348</v>
      </c>
      <c r="E109" s="6" t="s">
        <v>1349</v>
      </c>
      <c r="F109" s="66" t="str">
        <f>IFERROR(__xludf.DUMMYFUNCTION("GOOGLETRANSLATE(B109,""zh-TW"",""zh-CN"")"),"情绪能量")</f>
        <v>情绪能量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71" t="s">
        <v>1350</v>
      </c>
      <c r="C110" s="64" t="s">
        <v>1351</v>
      </c>
      <c r="D110" s="69" t="s">
        <v>1352</v>
      </c>
      <c r="E110" s="6" t="s">
        <v>1353</v>
      </c>
      <c r="F110" s="66" t="str">
        <f>IFERROR(__xludf.DUMMYFUNCTION("GOOGLETRANSLATE(B110,""zh-TW"",""zh-CN"")"),"情绪能量(大)")</f>
        <v>情绪能量(大)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71" t="s">
        <v>1354</v>
      </c>
      <c r="C111" s="64" t="s">
        <v>1355</v>
      </c>
      <c r="D111" s="69" t="s">
        <v>1356</v>
      </c>
      <c r="E111" s="6" t="s">
        <v>1357</v>
      </c>
      <c r="F111" s="66" t="str">
        <f>IFERROR(__xludf.DUMMYFUNCTION("GOOGLETRANSLATE(B111,""zh-TW"",""zh-CN"")"),"情绪能量(小)")</f>
        <v>情绪能量(小)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71" t="s">
        <v>1358</v>
      </c>
      <c r="C112" s="64" t="s">
        <v>1359</v>
      </c>
      <c r="D112" s="69" t="s">
        <v>1360</v>
      </c>
      <c r="E112" s="6" t="s">
        <v>1361</v>
      </c>
      <c r="F112" s="66" t="str">
        <f>IFERROR(__xludf.DUMMYFUNCTION("GOOGLETRANSLATE(B112,""zh-TW"",""zh-CN"")"),"情绪能量(中)")</f>
        <v>情绪能量(中)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71" t="s">
        <v>1362</v>
      </c>
      <c r="C113" s="64" t="s">
        <v>1363</v>
      </c>
      <c r="D113" s="69" t="s">
        <v>1364</v>
      </c>
      <c r="E113" s="6" t="s">
        <v>1365</v>
      </c>
      <c r="F113" s="66" t="str">
        <f>IFERROR(__xludf.DUMMYFUNCTION("GOOGLETRANSLATE(B113,""zh-TW"",""zh-CN"")"),"情绪能量(特大)")</f>
        <v>情绪能量(特大)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63" t="s">
        <v>1366</v>
      </c>
      <c r="C114" s="72" t="s">
        <v>1367</v>
      </c>
      <c r="D114" s="6" t="s">
        <v>1368</v>
      </c>
      <c r="E114" s="6" t="s">
        <v>1369</v>
      </c>
      <c r="F114" s="66" t="str">
        <f>IFERROR(__xludf.DUMMYFUNCTION("GOOGLETRANSLATE(B114,""zh-TW"",""zh-CN"")"),"杰出手套通用材料")</f>
        <v>杰出手套通用材料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63" t="s">
        <v>1370</v>
      </c>
      <c r="C115" s="72" t="s">
        <v>1371</v>
      </c>
      <c r="D115" s="6" t="s">
        <v>1372</v>
      </c>
      <c r="E115" s="6" t="s">
        <v>1373</v>
      </c>
      <c r="F115" s="66" t="str">
        <f>IFERROR(__xludf.DUMMYFUNCTION("GOOGLETRANSLATE(B115,""zh-TW"",""zh-CN"")"),"杰出行囊通用材料")</f>
        <v>杰出行囊通用材料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78" t="s">
        <v>1374</v>
      </c>
      <c r="C116" s="72" t="s">
        <v>1375</v>
      </c>
      <c r="D116" s="6" t="s">
        <v>1376</v>
      </c>
      <c r="E116" s="6" t="s">
        <v>1377</v>
      </c>
      <c r="F116" s="66" t="str">
        <f>IFERROR(__xludf.DUMMYFUNCTION("GOOGLETRANSLATE(B116,""zh-TW"",""zh-CN"")"),"杰出披风通用材料")</f>
        <v>杰出披风通用材料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37" t="s">
        <v>1378</v>
      </c>
      <c r="C117" s="70" t="s">
        <v>1379</v>
      </c>
      <c r="D117" s="6" t="s">
        <v>1380</v>
      </c>
      <c r="E117" s="6" t="s">
        <v>1381</v>
      </c>
      <c r="F117" s="66" t="str">
        <f>IFERROR(__xludf.DUMMYFUNCTION("GOOGLETRANSLATE(B117,""zh-TW"",""zh-CN"")"),"杰出武器通用材料")</f>
        <v>杰出武器通用材料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63" t="s">
        <v>1382</v>
      </c>
      <c r="C118" s="72" t="s">
        <v>1383</v>
      </c>
      <c r="D118" s="6" t="s">
        <v>1384</v>
      </c>
      <c r="E118" s="6" t="s">
        <v>1385</v>
      </c>
      <c r="F118" s="66" t="str">
        <f>IFERROR(__xludf.DUMMYFUNCTION("GOOGLETRANSLATE(B118,""zh-TW"",""zh-CN"")"),"杰出帐篷通用材料")</f>
        <v>杰出帐篷通用材料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63" t="s">
        <v>1386</v>
      </c>
      <c r="C119" s="72" t="s">
        <v>1387</v>
      </c>
      <c r="D119" s="6" t="s">
        <v>1388</v>
      </c>
      <c r="E119" s="6" t="s">
        <v>1389</v>
      </c>
      <c r="F119" s="66" t="str">
        <f>IFERROR(__xludf.DUMMYFUNCTION("GOOGLETRANSLATE(B119,""zh-TW"",""zh-CN"")"),"杰出灯具通用材料")</f>
        <v>杰出灯具通用材料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6"/>
      <c r="B120" s="75" t="s">
        <v>1390</v>
      </c>
      <c r="C120" s="68" t="s">
        <v>1391</v>
      </c>
      <c r="D120" s="65" t="s">
        <v>1392</v>
      </c>
      <c r="E120" s="6" t="s">
        <v>1393</v>
      </c>
      <c r="F120" s="66" t="str">
        <f>IFERROR(__xludf.DUMMYFUNCTION("GOOGLETRANSLATE(B120,""zh-TW"",""zh-CN"")"),"复活露水")</f>
        <v>复活露水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37" t="s">
        <v>1394</v>
      </c>
      <c r="C121" s="74" t="s">
        <v>1395</v>
      </c>
      <c r="D121" s="6" t="s">
        <v>1396</v>
      </c>
      <c r="E121" s="6" t="s">
        <v>1397</v>
      </c>
      <c r="F121" s="66" t="str">
        <f>IFERROR(__xludf.DUMMYFUNCTION("GOOGLETRANSLATE(B121,""zh-TW"",""zh-CN"")"),"普通装备钥匙")</f>
        <v>普通装备钥匙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71" t="s">
        <v>1398</v>
      </c>
      <c r="C122" s="64" t="s">
        <v>1399</v>
      </c>
      <c r="D122" s="6" t="s">
        <v>1400</v>
      </c>
      <c r="E122" s="6" t="s">
        <v>1401</v>
      </c>
      <c r="F122" s="66" t="str">
        <f>IFERROR(__xludf.DUMMYFUNCTION("GOOGLETRANSLATE(B122,""zh-TW"",""zh-CN"")"),"集集贝壳")</f>
        <v>集集贝壳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63" t="s">
        <v>1402</v>
      </c>
      <c r="C123" s="72" t="s">
        <v>1403</v>
      </c>
      <c r="D123" s="6" t="s">
        <v>1404</v>
      </c>
      <c r="E123" s="6" t="s">
        <v>1405</v>
      </c>
      <c r="F123" s="66" t="str">
        <f>IFERROR(__xludf.DUMMYFUNCTION("GOOGLETRANSLATE(B123,""zh-TW"",""zh-CN"")"),"传奇手套通用材料")</f>
        <v>传奇手套通用材料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63" t="s">
        <v>1406</v>
      </c>
      <c r="C124" s="72" t="s">
        <v>1407</v>
      </c>
      <c r="D124" s="6" t="s">
        <v>1408</v>
      </c>
      <c r="E124" s="6" t="s">
        <v>1409</v>
      </c>
      <c r="F124" s="66" t="str">
        <f>IFERROR(__xludf.DUMMYFUNCTION("GOOGLETRANSLATE(B124,""zh-TW"",""zh-CN"")"),"传奇行囊通用材料")</f>
        <v>传奇行囊通用材料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63" t="s">
        <v>1410</v>
      </c>
      <c r="C125" s="73" t="s">
        <v>1411</v>
      </c>
      <c r="D125" s="6" t="s">
        <v>1412</v>
      </c>
      <c r="E125" s="6" t="s">
        <v>1413</v>
      </c>
      <c r="F125" s="66" t="str">
        <f>IFERROR(__xludf.DUMMYFUNCTION("GOOGLETRANSLATE(B125,""zh-TW"",""zh-CN"")"),"传奇披风通用材料")</f>
        <v>传奇披风通用材料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63" t="s">
        <v>1414</v>
      </c>
      <c r="C126" s="72" t="s">
        <v>1415</v>
      </c>
      <c r="D126" s="6" t="s">
        <v>1416</v>
      </c>
      <c r="E126" s="6" t="s">
        <v>1417</v>
      </c>
      <c r="F126" s="66" t="str">
        <f>IFERROR(__xludf.DUMMYFUNCTION("GOOGLETRANSLATE(B126,""zh-TW"",""zh-CN"")"),"传奇武器通用材料")</f>
        <v>传奇武器通用材料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63" t="s">
        <v>1418</v>
      </c>
      <c r="C127" s="72" t="s">
        <v>1419</v>
      </c>
      <c r="D127" s="6" t="s">
        <v>1420</v>
      </c>
      <c r="E127" s="6" t="s">
        <v>1421</v>
      </c>
      <c r="F127" s="66" t="str">
        <f>IFERROR(__xludf.DUMMYFUNCTION("GOOGLETRANSLATE(B127,""zh-TW"",""zh-CN"")"),"传奇帐篷通用材料")</f>
        <v>传奇帐篷通用材料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63" t="s">
        <v>1422</v>
      </c>
      <c r="C128" s="72" t="s">
        <v>1423</v>
      </c>
      <c r="D128" s="6" t="s">
        <v>1424</v>
      </c>
      <c r="E128" s="6" t="s">
        <v>1425</v>
      </c>
      <c r="F128" s="66" t="str">
        <f>IFERROR(__xludf.DUMMYFUNCTION("GOOGLETRANSLATE(B128,""zh-TW"",""zh-CN"")"),"传奇灯具通用材料")</f>
        <v>传奇灯具通用材料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6"/>
      <c r="B129" s="37" t="s">
        <v>1426</v>
      </c>
      <c r="C129" s="70" t="s">
        <v>1427</v>
      </c>
      <c r="D129" s="65" t="s">
        <v>1428</v>
      </c>
      <c r="E129" s="6" t="s">
        <v>1429</v>
      </c>
      <c r="F129" s="66" t="str">
        <f>IFERROR(__xludf.DUMMYFUNCTION("GOOGLETRANSLATE(B129,""zh-TW"",""zh-CN"")"),"岁月回响")</f>
        <v>岁月回响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63" t="s">
        <v>1430</v>
      </c>
      <c r="C130" s="64" t="s">
        <v>1431</v>
      </c>
      <c r="D130" s="6" t="s">
        <v>1432</v>
      </c>
      <c r="E130" s="6" t="s">
        <v>1433</v>
      </c>
      <c r="F130" s="66" t="str">
        <f>IFERROR(__xludf.DUMMYFUNCTION("GOOGLETRANSLATE(B130,""zh-TW"",""zh-CN"")"),"蜂蜜优格")</f>
        <v>蜂蜜优格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71" t="s">
        <v>1434</v>
      </c>
      <c r="C131" s="64" t="s">
        <v>1435</v>
      </c>
      <c r="D131" s="31" t="s">
        <v>1436</v>
      </c>
      <c r="E131" s="6" t="s">
        <v>1437</v>
      </c>
      <c r="F131" s="66" t="str">
        <f>IFERROR(__xludf.DUMMYFUNCTION("GOOGLETRANSLATE(B131,""zh-TW"",""zh-CN"")"),"装备宝箱")</f>
        <v>装备宝箱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63" t="s">
        <v>1438</v>
      </c>
      <c r="C132" s="68" t="s">
        <v>1439</v>
      </c>
      <c r="D132" s="6" t="s">
        <v>1440</v>
      </c>
      <c r="E132" s="6" t="s">
        <v>1441</v>
      </c>
      <c r="F132" s="66" t="str">
        <f>IFERROR(__xludf.DUMMYFUNCTION("GOOGLETRANSLATE(B132,""zh-TW"",""zh-CN"")"),"滚滚结晶")</f>
        <v>滚滚结晶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63" t="s">
        <v>1442</v>
      </c>
      <c r="C133" s="64" t="s">
        <v>1443</v>
      </c>
      <c r="D133" s="6" t="s">
        <v>1444</v>
      </c>
      <c r="E133" s="6" t="s">
        <v>1445</v>
      </c>
      <c r="F133" s="66" t="str">
        <f>IFERROR(__xludf.DUMMYFUNCTION("GOOGLETRANSLATE(B133,""zh-TW"",""zh-CN"")"),"综合水果")</f>
        <v>综合水果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63" t="s">
        <v>1446</v>
      </c>
      <c r="C134" s="64" t="s">
        <v>1447</v>
      </c>
      <c r="D134" s="6" t="s">
        <v>1448</v>
      </c>
      <c r="E134" s="6" t="s">
        <v>1449</v>
      </c>
      <c r="F134" s="66" t="str">
        <f>IFERROR(__xludf.DUMMYFUNCTION("GOOGLETRANSLATE(B134,""zh-TW"",""zh-CN"")"),"辣烤鱼串")</f>
        <v>辣烤鱼串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63" t="s">
        <v>1450</v>
      </c>
      <c r="C135" s="64" t="s">
        <v>1451</v>
      </c>
      <c r="D135" s="6" t="s">
        <v>1452</v>
      </c>
      <c r="E135" s="6" t="s">
        <v>1453</v>
      </c>
      <c r="F135" s="66" t="str">
        <f>IFERROR(__xludf.DUMMYFUNCTION("GOOGLETRANSLATE(B135,""zh-TW"",""zh-CN"")"),"辣卷饼")</f>
        <v>辣卷饼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63" t="s">
        <v>1454</v>
      </c>
      <c r="C136" s="64" t="s">
        <v>1455</v>
      </c>
      <c r="D136" s="6" t="s">
        <v>1456</v>
      </c>
      <c r="E136" s="6" t="s">
        <v>1457</v>
      </c>
      <c r="F136" s="66" t="str">
        <f>IFERROR(__xludf.DUMMYFUNCTION("GOOGLETRANSLATE(B136,""zh-TW"",""zh-CN"")"),"热可可")</f>
        <v>热可可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63" t="s">
        <v>1458</v>
      </c>
      <c r="C137" s="64" t="s">
        <v>1459</v>
      </c>
      <c r="D137" s="6" t="s">
        <v>1460</v>
      </c>
      <c r="E137" s="6" t="s">
        <v>1461</v>
      </c>
      <c r="F137" s="66" t="str">
        <f>IFERROR(__xludf.DUMMYFUNCTION("GOOGLETRANSLATE(B137,""zh-TW"",""zh-CN"")"),"热红茶")</f>
        <v>热红茶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6" t="s">
        <v>1060</v>
      </c>
      <c r="B138" s="72" t="s">
        <v>1462</v>
      </c>
      <c r="C138" s="74" t="s">
        <v>1463</v>
      </c>
      <c r="D138" s="6" t="s">
        <v>1464</v>
      </c>
      <c r="E138" s="6" t="s">
        <v>1465</v>
      </c>
      <c r="F138" s="66" t="str">
        <f>IFERROR(__xludf.DUMMYFUNCTION("GOOGLETRANSLATE(B138,""zh-TW"",""zh-CN"")"),"冥想宝箱(精良)")</f>
        <v>冥想宝箱(精良)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6" t="s">
        <v>1060</v>
      </c>
      <c r="B139" s="72" t="s">
        <v>1466</v>
      </c>
      <c r="C139" s="74" t="s">
        <v>1467</v>
      </c>
      <c r="D139" s="6" t="s">
        <v>1468</v>
      </c>
      <c r="E139" s="6" t="s">
        <v>1469</v>
      </c>
      <c r="F139" s="66" t="str">
        <f>IFERROR(__xludf.DUMMYFUNCTION("GOOGLETRANSLATE(B139,""zh-TW"",""zh-CN"")"),"冥想宝箱(优秀)")</f>
        <v>冥想宝箱(优秀)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6" t="s">
        <v>1060</v>
      </c>
      <c r="B140" s="72" t="s">
        <v>1470</v>
      </c>
      <c r="C140" s="74" t="s">
        <v>1471</v>
      </c>
      <c r="D140" s="6" t="s">
        <v>1472</v>
      </c>
      <c r="E140" s="6" t="s">
        <v>1473</v>
      </c>
      <c r="F140" s="66" t="str">
        <f>IFERROR(__xludf.DUMMYFUNCTION("GOOGLETRANSLATE(B140,""zh-TW"",""zh-CN"")"),"冥想宝箱(杰出)")</f>
        <v>冥想宝箱(杰出)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6" t="s">
        <v>1060</v>
      </c>
      <c r="B141" s="72" t="s">
        <v>1474</v>
      </c>
      <c r="C141" s="74" t="s">
        <v>1475</v>
      </c>
      <c r="D141" s="6" t="s">
        <v>1476</v>
      </c>
      <c r="E141" s="6" t="s">
        <v>1477</v>
      </c>
      <c r="F141" s="66" t="str">
        <f>IFERROR(__xludf.DUMMYFUNCTION("GOOGLETRANSLATE(B141,""zh-TW"",""zh-CN"")"),"冥想宝箱(史诗)")</f>
        <v>冥想宝箱(史诗)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6"/>
      <c r="B142" s="63" t="s">
        <v>1478</v>
      </c>
      <c r="C142" s="68" t="s">
        <v>1479</v>
      </c>
      <c r="D142" s="6" t="s">
        <v>1480</v>
      </c>
      <c r="E142" s="6" t="s">
        <v>1481</v>
      </c>
      <c r="F142" s="66" t="str">
        <f>IFERROR(__xludf.DUMMYFUNCTION("GOOGLETRANSLATE(B142,""zh-TW"",""zh-CN"")"),"灯具图纸")</f>
        <v>灯具图纸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6"/>
      <c r="B143" s="75" t="s">
        <v>1482</v>
      </c>
      <c r="C143" s="68" t="s">
        <v>1483</v>
      </c>
      <c r="D143" s="6" t="s">
        <v>1484</v>
      </c>
      <c r="E143" s="6" t="s">
        <v>1485</v>
      </c>
      <c r="F143" s="66" t="str">
        <f>IFERROR(__xludf.DUMMYFUNCTION("GOOGLETRANSLATE(B143,""zh-TW"",""zh-CN"")"),"随心换域勋章")</f>
        <v>随心换域勋章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63" t="s">
        <v>1486</v>
      </c>
      <c r="C144" s="68" t="s">
        <v>1487</v>
      </c>
      <c r="D144" s="6" t="s">
        <v>1488</v>
      </c>
      <c r="E144" s="6" t="s">
        <v>1489</v>
      </c>
      <c r="F144" s="66" t="str">
        <f>IFERROR(__xludf.DUMMYFUNCTION("GOOGLETRANSLATE(B144,""zh-TW"",""zh-CN"")"),"随机光球结晶")</f>
        <v>随机光球结晶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6" t="s">
        <v>1060</v>
      </c>
      <c r="B145" s="73" t="s">
        <v>1490</v>
      </c>
      <c r="C145" s="64" t="s">
        <v>1491</v>
      </c>
      <c r="D145" s="6" t="s">
        <v>1492</v>
      </c>
      <c r="E145" s="6" t="s">
        <v>1493</v>
      </c>
      <c r="F145" s="66" t="str">
        <f>IFERROR(__xludf.DUMMYFUNCTION("GOOGLETRANSLATE(B145,""zh-TW"",""zh-CN"")"),"随机宝箱 - 回忆片段 第1期(精良)")</f>
        <v>随机宝箱 - 回忆片段 第1期(精良)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6" t="s">
        <v>1060</v>
      </c>
      <c r="B146" s="73" t="s">
        <v>1494</v>
      </c>
      <c r="C146" s="77" t="s">
        <v>1495</v>
      </c>
      <c r="D146" s="6" t="s">
        <v>1496</v>
      </c>
      <c r="E146" s="38" t="s">
        <v>1497</v>
      </c>
      <c r="F146" s="66" t="str">
        <f>IFERROR(__xludf.DUMMYFUNCTION("GOOGLETRANSLATE(B146,""zh-TW"",""zh-CN"")"),"随机宝箱 - 回忆片段 第1期(优秀)")</f>
        <v>随机宝箱 - 回忆片段 第1期(优秀)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6" t="s">
        <v>1060</v>
      </c>
      <c r="B147" s="73" t="s">
        <v>1498</v>
      </c>
      <c r="C147" s="77" t="s">
        <v>1499</v>
      </c>
      <c r="D147" s="6" t="s">
        <v>1500</v>
      </c>
      <c r="E147" s="38" t="s">
        <v>1501</v>
      </c>
      <c r="F147" s="66" t="str">
        <f>IFERROR(__xludf.DUMMYFUNCTION("GOOGLETRANSLATE(B147,""zh-TW"",""zh-CN"")"),"随机宝箱 - 回忆片段 第1期(杰出)")</f>
        <v>随机宝箱 - 回忆片段 第1期(杰出)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6" t="s">
        <v>1060</v>
      </c>
      <c r="B148" s="73" t="s">
        <v>1502</v>
      </c>
      <c r="C148" s="78" t="s">
        <v>1503</v>
      </c>
      <c r="D148" s="6" t="s">
        <v>1504</v>
      </c>
      <c r="E148" s="38" t="s">
        <v>1505</v>
      </c>
      <c r="F148" s="66" t="str">
        <f>IFERROR(__xludf.DUMMYFUNCTION("GOOGLETRANSLATE(B148,""zh-TW"",""zh-CN"")"),"随机宝箱 - 回忆片段 第1期(史诗)")</f>
        <v>随机宝箱 - 回忆片段 第1期(史诗)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6" t="s">
        <v>1060</v>
      </c>
      <c r="B149" s="73" t="s">
        <v>1506</v>
      </c>
      <c r="C149" s="78" t="s">
        <v>1507</v>
      </c>
      <c r="D149" s="6" t="s">
        <v>1508</v>
      </c>
      <c r="E149" s="38" t="s">
        <v>1509</v>
      </c>
      <c r="F149" s="66" t="str">
        <f>IFERROR(__xludf.DUMMYFUNCTION("GOOGLETRANSLATE(B149,""zh-TW"",""zh-CN"")"),"随机宝箱 - 回忆片段 第1期(传奇)")</f>
        <v>随机宝箱 - 回忆片段 第1期(传奇)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6" t="s">
        <v>1060</v>
      </c>
      <c r="B150" s="72" t="s">
        <v>1510</v>
      </c>
      <c r="C150" s="64" t="s">
        <v>1511</v>
      </c>
      <c r="D150" s="6" t="s">
        <v>1512</v>
      </c>
      <c r="E150" s="38" t="s">
        <v>1513</v>
      </c>
      <c r="F150" s="66" t="str">
        <f>IFERROR(__xludf.DUMMYFUNCTION("GOOGLETRANSLATE(B150,""zh-TW"",""zh-CN"")"),"随机宝箱 - 收藏品 第1期(精良)")</f>
        <v>随机宝箱 - 收藏品 第1期(精良)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6" t="s">
        <v>1060</v>
      </c>
      <c r="B151" s="72" t="s">
        <v>1514</v>
      </c>
      <c r="C151" s="83" t="s">
        <v>1515</v>
      </c>
      <c r="D151" s="6" t="s">
        <v>1516</v>
      </c>
      <c r="E151" s="38" t="s">
        <v>1517</v>
      </c>
      <c r="F151" s="66" t="str">
        <f>IFERROR(__xludf.DUMMYFUNCTION("GOOGLETRANSLATE(B151,""zh-TW"",""zh-CN"")"),"随机宝箱 - 收藏品 第1期(优秀)")</f>
        <v>随机宝箱 - 收藏品 第1期(优秀)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6" t="s">
        <v>1060</v>
      </c>
      <c r="B152" s="72" t="s">
        <v>1518</v>
      </c>
      <c r="C152" s="68" t="s">
        <v>1519</v>
      </c>
      <c r="D152" s="6" t="s">
        <v>1520</v>
      </c>
      <c r="E152" s="38" t="s">
        <v>1521</v>
      </c>
      <c r="F152" s="66" t="str">
        <f>IFERROR(__xludf.DUMMYFUNCTION("GOOGLETRANSLATE(B152,""zh-TW"",""zh-CN"")"),"随机宝箱 - 收藏品 第1期(杰出)")</f>
        <v>随机宝箱 - 收藏品 第1期(杰出)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6" t="s">
        <v>1060</v>
      </c>
      <c r="B153" s="72" t="s">
        <v>1522</v>
      </c>
      <c r="C153" s="68" t="s">
        <v>1523</v>
      </c>
      <c r="D153" s="6" t="s">
        <v>1524</v>
      </c>
      <c r="E153" s="38" t="s">
        <v>1525</v>
      </c>
      <c r="F153" s="66" t="str">
        <f>IFERROR(__xludf.DUMMYFUNCTION("GOOGLETRANSLATE(B153,""zh-TW"",""zh-CN"")"),"随机宝箱 - 收藏品 第1期(史诗)")</f>
        <v>随机宝箱 - 收藏品 第1期(史诗)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6" t="s">
        <v>1060</v>
      </c>
      <c r="B154" s="72" t="s">
        <v>1526</v>
      </c>
      <c r="C154" s="68" t="s">
        <v>1527</v>
      </c>
      <c r="D154" s="6" t="s">
        <v>1528</v>
      </c>
      <c r="E154" s="38" t="s">
        <v>1529</v>
      </c>
      <c r="F154" s="66" t="str">
        <f>IFERROR(__xludf.DUMMYFUNCTION("GOOGLETRANSLATE(B154,""zh-TW"",""zh-CN"")"),"随机宝箱 - 收藏品 第1期(传奇)")</f>
        <v>随机宝箱 - 收藏品 第1期(传奇)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6" t="s">
        <v>1060</v>
      </c>
      <c r="B155" s="73" t="s">
        <v>1530</v>
      </c>
      <c r="C155" s="74" t="s">
        <v>1531</v>
      </c>
      <c r="D155" s="81" t="s">
        <v>1532</v>
      </c>
      <c r="E155" s="38" t="s">
        <v>1533</v>
      </c>
      <c r="F155" s="66" t="str">
        <f>IFERROR(__xludf.DUMMYFUNCTION("GOOGLETRANSLATE(B155,""zh-TW"",""zh-CN"")"),"自选宝箱 - S装收藏品(杰出)")</f>
        <v>自选宝箱 - S装收藏品(杰出)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6" t="s">
        <v>1060</v>
      </c>
      <c r="B156" s="73" t="s">
        <v>1534</v>
      </c>
      <c r="C156" s="74" t="s">
        <v>1535</v>
      </c>
      <c r="D156" s="81" t="s">
        <v>1536</v>
      </c>
      <c r="E156" s="38" t="s">
        <v>1537</v>
      </c>
      <c r="F156" s="66" t="str">
        <f>IFERROR(__xludf.DUMMYFUNCTION("GOOGLETRANSLATE(B156,""zh-TW"",""zh-CN"")"),"随机宝箱 - S装收藏品(杰出)")</f>
        <v>随机宝箱 - S装收藏品(杰出)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6" t="s">
        <v>1060</v>
      </c>
      <c r="B157" s="79" t="s">
        <v>1538</v>
      </c>
      <c r="C157" s="77" t="s">
        <v>1539</v>
      </c>
      <c r="D157" s="81" t="s">
        <v>1540</v>
      </c>
      <c r="E157" s="38" t="s">
        <v>1541</v>
      </c>
      <c r="F157" s="66" t="str">
        <f>IFERROR(__xludf.DUMMYFUNCTION("GOOGLETRANSLATE(B157,""zh-TW"",""zh-CN"")"),"随机宝箱 - 念痕(普通)")</f>
        <v>随机宝箱 - 念痕(普通)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6" t="s">
        <v>1060</v>
      </c>
      <c r="B158" s="79" t="s">
        <v>1542</v>
      </c>
      <c r="C158" s="77" t="s">
        <v>1543</v>
      </c>
      <c r="D158" s="81" t="s">
        <v>1544</v>
      </c>
      <c r="E158" s="38" t="s">
        <v>1545</v>
      </c>
      <c r="F158" s="66" t="str">
        <f>IFERROR(__xludf.DUMMYFUNCTION("GOOGLETRANSLATE(B158,""zh-TW"",""zh-CN"")"),"随机宝箱 - 念痕(精良)")</f>
        <v>随机宝箱 - 念痕(精良)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6" t="s">
        <v>1060</v>
      </c>
      <c r="B159" s="72" t="s">
        <v>1546</v>
      </c>
      <c r="C159" s="83" t="s">
        <v>1547</v>
      </c>
      <c r="D159" s="81" t="s">
        <v>1548</v>
      </c>
      <c r="E159" s="38" t="s">
        <v>1549</v>
      </c>
      <c r="F159" s="66" t="str">
        <f>IFERROR(__xludf.DUMMYFUNCTION("GOOGLETRANSLATE(B159,""zh-TW"",""zh-CN"")"),"随机宝箱 - 念痕(优秀)")</f>
        <v>随机宝箱 - 念痕(优秀)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6" t="s">
        <v>1060</v>
      </c>
      <c r="B160" s="72" t="s">
        <v>1550</v>
      </c>
      <c r="C160" s="68" t="s">
        <v>1551</v>
      </c>
      <c r="D160" s="81" t="s">
        <v>1552</v>
      </c>
      <c r="E160" s="38" t="s">
        <v>1553</v>
      </c>
      <c r="F160" s="66" t="str">
        <f>IFERROR(__xludf.DUMMYFUNCTION("GOOGLETRANSLATE(B160,""zh-TW"",""zh-CN"")"),"随机宝箱 - 念痕(杰出)")</f>
        <v>随机宝箱 - 念痕(杰出)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6" t="s">
        <v>1060</v>
      </c>
      <c r="B161" s="72" t="s">
        <v>1554</v>
      </c>
      <c r="C161" s="68" t="s">
        <v>1555</v>
      </c>
      <c r="D161" s="81" t="s">
        <v>1556</v>
      </c>
      <c r="E161" s="38" t="s">
        <v>1557</v>
      </c>
      <c r="F161" s="66" t="str">
        <f>IFERROR(__xludf.DUMMYFUNCTION("GOOGLETRANSLATE(B161,""zh-TW"",""zh-CN"")"),"随机宝箱 - 念痕(史诗)")</f>
        <v>随机宝箱 - 念痕(史诗)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6" t="s">
        <v>1060</v>
      </c>
      <c r="B162" s="72" t="s">
        <v>1558</v>
      </c>
      <c r="C162" s="68" t="s">
        <v>1559</v>
      </c>
      <c r="D162" s="81" t="s">
        <v>1560</v>
      </c>
      <c r="E162" s="38" t="s">
        <v>1561</v>
      </c>
      <c r="F162" s="66" t="str">
        <f>IFERROR(__xludf.DUMMYFUNCTION("GOOGLETRANSLATE(B162,""zh-TW"",""zh-CN"")"),"随机宝箱 - 念痕(传奇)")</f>
        <v>随机宝箱 - 念痕(传奇)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6" t="s">
        <v>1060</v>
      </c>
      <c r="B163" s="72" t="s">
        <v>1562</v>
      </c>
      <c r="C163" s="68" t="s">
        <v>1563</v>
      </c>
      <c r="D163" s="81" t="s">
        <v>1564</v>
      </c>
      <c r="E163" s="38" t="s">
        <v>1565</v>
      </c>
      <c r="F163" s="66" t="str">
        <f>IFERROR(__xludf.DUMMYFUNCTION("GOOGLETRANSLATE(B163,""zh-TW"",""zh-CN"")"),"惊喜宝箱 - 念痕(杰出)")</f>
        <v>惊喜宝箱 - 念痕(杰出)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6" t="s">
        <v>1060</v>
      </c>
      <c r="B164" s="72" t="s">
        <v>1566</v>
      </c>
      <c r="C164" s="68" t="s">
        <v>1567</v>
      </c>
      <c r="D164" s="81" t="s">
        <v>1568</v>
      </c>
      <c r="E164" s="6" t="s">
        <v>1569</v>
      </c>
      <c r="F164" s="66" t="str">
        <f>IFERROR(__xludf.DUMMYFUNCTION("GOOGLETRANSLATE(B164,""zh-TW"",""zh-CN"")"),"惊喜宝箱 - 念痕(史诗)")</f>
        <v>惊喜宝箱 - 念痕(史诗)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6" t="s">
        <v>1060</v>
      </c>
      <c r="B165" s="37" t="s">
        <v>1570</v>
      </c>
      <c r="C165" s="77" t="s">
        <v>1571</v>
      </c>
      <c r="D165" s="81" t="s">
        <v>1572</v>
      </c>
      <c r="E165" s="38" t="s">
        <v>1573</v>
      </c>
      <c r="F165" s="66" t="str">
        <f>IFERROR(__xludf.DUMMYFUNCTION("GOOGLETRANSLATE(B165,""zh-TW"",""zh-CN"")"),"随机宝箱 - 旅伴伙食(优秀)")</f>
        <v>随机宝箱 - 旅伴伙食(优秀)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6" t="s">
        <v>1060</v>
      </c>
      <c r="B166" s="37" t="s">
        <v>1574</v>
      </c>
      <c r="C166" s="77" t="s">
        <v>1575</v>
      </c>
      <c r="D166" s="81" t="s">
        <v>1576</v>
      </c>
      <c r="E166" s="38" t="s">
        <v>1577</v>
      </c>
      <c r="F166" s="66" t="str">
        <f>IFERROR(__xludf.DUMMYFUNCTION("GOOGLETRANSLATE(B166,""zh-TW"",""zh-CN"")"),"随机宝箱 - 旅伴伙食(杰出)")</f>
        <v>随机宝箱 - 旅伴伙食(杰出)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6" t="s">
        <v>1060</v>
      </c>
      <c r="B167" s="37" t="s">
        <v>1578</v>
      </c>
      <c r="C167" s="77" t="s">
        <v>1579</v>
      </c>
      <c r="D167" s="81" t="s">
        <v>1580</v>
      </c>
      <c r="E167" s="38" t="s">
        <v>1581</v>
      </c>
      <c r="F167" s="66" t="str">
        <f>IFERROR(__xludf.DUMMYFUNCTION("GOOGLETRANSLATE(B167,""zh-TW"",""zh-CN"")"),"随机宝箱 - 旅伴伙食(史诗)")</f>
        <v>随机宝箱 - 旅伴伙食(史诗)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6" t="s">
        <v>1060</v>
      </c>
      <c r="B168" s="37" t="s">
        <v>1582</v>
      </c>
      <c r="C168" s="77" t="s">
        <v>1583</v>
      </c>
      <c r="D168" s="81" t="s">
        <v>1584</v>
      </c>
      <c r="E168" s="38" t="s">
        <v>1585</v>
      </c>
      <c r="F168" s="66" t="str">
        <f>IFERROR(__xludf.DUMMYFUNCTION("GOOGLETRANSLATE(B168,""zh-TW"",""zh-CN"")"),"随机宝箱 - 旅伴伙食(传奇)")</f>
        <v>随机宝箱 - 旅伴伙食(传奇)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6" t="s">
        <v>1060</v>
      </c>
      <c r="B169" s="37" t="s">
        <v>1586</v>
      </c>
      <c r="C169" s="70" t="s">
        <v>1587</v>
      </c>
      <c r="D169" s="81" t="s">
        <v>1588</v>
      </c>
      <c r="E169" s="38" t="s">
        <v>1589</v>
      </c>
      <c r="F169" s="66" t="str">
        <f>IFERROR(__xludf.DUMMYFUNCTION("GOOGLETRANSLATE(B169,""zh-TW"",""zh-CN"")"),"随机宝箱 - 旅伴(普通)")</f>
        <v>随机宝箱 - 旅伴(普通)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6" t="s">
        <v>1060</v>
      </c>
      <c r="B170" s="37" t="s">
        <v>1590</v>
      </c>
      <c r="C170" s="70" t="s">
        <v>1591</v>
      </c>
      <c r="D170" s="81" t="s">
        <v>1592</v>
      </c>
      <c r="E170" s="38" t="s">
        <v>1593</v>
      </c>
      <c r="F170" s="66" t="str">
        <f>IFERROR(__xludf.DUMMYFUNCTION("GOOGLETRANSLATE(B170,""zh-TW"",""zh-CN"")"),"随机宝箱 - 旅伴(精良)")</f>
        <v>随机宝箱 - 旅伴(精良)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6" t="s">
        <v>1060</v>
      </c>
      <c r="B171" s="37" t="s">
        <v>1594</v>
      </c>
      <c r="C171" s="70" t="s">
        <v>1595</v>
      </c>
      <c r="D171" s="81" t="s">
        <v>1596</v>
      </c>
      <c r="E171" s="38" t="s">
        <v>1597</v>
      </c>
      <c r="F171" s="66" t="str">
        <f>IFERROR(__xludf.DUMMYFUNCTION("GOOGLETRANSLATE(B171,""zh-TW"",""zh-CN"")"),"随机宝箱 - 旅伴(优秀)")</f>
        <v>随机宝箱 - 旅伴(优秀)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6" t="s">
        <v>1060</v>
      </c>
      <c r="B172" s="37" t="s">
        <v>1598</v>
      </c>
      <c r="C172" s="77" t="s">
        <v>1599</v>
      </c>
      <c r="D172" s="81" t="s">
        <v>1600</v>
      </c>
      <c r="E172" s="38" t="s">
        <v>1601</v>
      </c>
      <c r="F172" s="66" t="str">
        <f>IFERROR(__xludf.DUMMYFUNCTION("GOOGLETRANSLATE(B172,""zh-TW"",""zh-CN"")"),"随机宝箱 - 旅伴(杰出)")</f>
        <v>随机宝箱 - 旅伴(杰出)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6" t="s">
        <v>1060</v>
      </c>
      <c r="B173" s="37" t="s">
        <v>1602</v>
      </c>
      <c r="C173" s="77" t="s">
        <v>1603</v>
      </c>
      <c r="D173" s="81" t="s">
        <v>1604</v>
      </c>
      <c r="E173" s="38" t="s">
        <v>1605</v>
      </c>
      <c r="F173" s="66" t="str">
        <f>IFERROR(__xludf.DUMMYFUNCTION("GOOGLETRANSLATE(B173,""zh-TW"",""zh-CN"")"),"随机宝箱 - 旅伴(史诗)")</f>
        <v>随机宝箱 - 旅伴(史诗)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6" t="s">
        <v>1060</v>
      </c>
      <c r="B174" s="37" t="s">
        <v>1606</v>
      </c>
      <c r="C174" s="70" t="s">
        <v>1607</v>
      </c>
      <c r="D174" s="81" t="s">
        <v>1608</v>
      </c>
      <c r="E174" s="38" t="s">
        <v>1601</v>
      </c>
      <c r="F174" s="66" t="str">
        <f>IFERROR(__xludf.DUMMYFUNCTION("GOOGLETRANSLATE(B174,""zh-TW"",""zh-CN"")"),"随机宝箱 - 旅伴(传奇)")</f>
        <v>随机宝箱 - 旅伴(传奇)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6" t="s">
        <v>1060</v>
      </c>
      <c r="B175" s="80" t="s">
        <v>1609</v>
      </c>
      <c r="C175" s="77" t="s">
        <v>1610</v>
      </c>
      <c r="D175" s="81" t="s">
        <v>1611</v>
      </c>
      <c r="E175" s="38" t="s">
        <v>1612</v>
      </c>
      <c r="F175" s="66" t="str">
        <f>IFERROR(__xludf.DUMMYFUNCTION("GOOGLETRANSLATE(B175,""zh-TW"",""zh-CN"")"),"惊喜宝箱 - 旅伴(杰出)")</f>
        <v>惊喜宝箱 - 旅伴(杰出)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6" t="s">
        <v>1060</v>
      </c>
      <c r="B176" s="80" t="s">
        <v>1613</v>
      </c>
      <c r="C176" s="77" t="s">
        <v>1614</v>
      </c>
      <c r="D176" s="81" t="s">
        <v>1615</v>
      </c>
      <c r="E176" s="6" t="s">
        <v>1616</v>
      </c>
      <c r="F176" s="66" t="str">
        <f>IFERROR(__xludf.DUMMYFUNCTION("GOOGLETRANSLATE(B176,""zh-TW"",""zh-CN"")"),"惊喜宝箱 - 旅伴(史诗)")</f>
        <v>惊喜宝箱 - 旅伴(史诗)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6" t="s">
        <v>1060</v>
      </c>
      <c r="B177" s="79" t="s">
        <v>1617</v>
      </c>
      <c r="C177" s="77" t="s">
        <v>1618</v>
      </c>
      <c r="D177" s="81" t="s">
        <v>1619</v>
      </c>
      <c r="E177" s="38" t="s">
        <v>1620</v>
      </c>
      <c r="F177" s="66" t="str">
        <f>IFERROR(__xludf.DUMMYFUNCTION("GOOGLETRANSLATE(B177,""zh-TW"",""zh-CN"")"),"随机宝箱 - 装备(普通)")</f>
        <v>随机宝箱 - 装备(普通)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6" t="s">
        <v>1060</v>
      </c>
      <c r="B178" s="79" t="s">
        <v>1621</v>
      </c>
      <c r="C178" s="77" t="s">
        <v>1622</v>
      </c>
      <c r="D178" s="81" t="s">
        <v>1623</v>
      </c>
      <c r="E178" s="38" t="s">
        <v>1624</v>
      </c>
      <c r="F178" s="66" t="str">
        <f>IFERROR(__xludf.DUMMYFUNCTION("GOOGLETRANSLATE(B178,""zh-TW"",""zh-CN"")"),"随机宝箱 - 装备(精良)")</f>
        <v>随机宝箱 - 装备(精良)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6" t="s">
        <v>1060</v>
      </c>
      <c r="B179" s="72" t="s">
        <v>1625</v>
      </c>
      <c r="C179" s="83" t="s">
        <v>1626</v>
      </c>
      <c r="D179" s="81" t="s">
        <v>1627</v>
      </c>
      <c r="E179" s="38" t="s">
        <v>1628</v>
      </c>
      <c r="F179" s="66" t="str">
        <f>IFERROR(__xludf.DUMMYFUNCTION("GOOGLETRANSLATE(B179,""zh-TW"",""zh-CN"")"),"随机宝箱 - 装备(优秀)")</f>
        <v>随机宝箱 - 装备(优秀)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6" t="s">
        <v>1060</v>
      </c>
      <c r="B180" s="72" t="s">
        <v>1629</v>
      </c>
      <c r="C180" s="68" t="s">
        <v>1630</v>
      </c>
      <c r="D180" s="81" t="s">
        <v>1631</v>
      </c>
      <c r="E180" s="38" t="s">
        <v>1632</v>
      </c>
      <c r="F180" s="66" t="str">
        <f>IFERROR(__xludf.DUMMYFUNCTION("GOOGLETRANSLATE(B180,""zh-TW"",""zh-CN"")"),"随机宝箱 - 装备(杰出)")</f>
        <v>随机宝箱 - 装备(杰出)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6" t="s">
        <v>1060</v>
      </c>
      <c r="B181" s="72" t="s">
        <v>1633</v>
      </c>
      <c r="C181" s="68" t="s">
        <v>1634</v>
      </c>
      <c r="D181" s="81" t="s">
        <v>1635</v>
      </c>
      <c r="E181" s="38" t="s">
        <v>1636</v>
      </c>
      <c r="F181" s="66" t="str">
        <f>IFERROR(__xludf.DUMMYFUNCTION("GOOGLETRANSLATE(B181,""zh-TW"",""zh-CN"")"),"随机宝箱 - 装备(史诗)")</f>
        <v>随机宝箱 - 装备(史诗)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6" t="s">
        <v>1060</v>
      </c>
      <c r="B182" s="72" t="s">
        <v>1637</v>
      </c>
      <c r="C182" s="68" t="s">
        <v>1638</v>
      </c>
      <c r="D182" s="81" t="s">
        <v>1639</v>
      </c>
      <c r="E182" s="38" t="s">
        <v>1632</v>
      </c>
      <c r="F182" s="66" t="str">
        <f>IFERROR(__xludf.DUMMYFUNCTION("GOOGLETRANSLATE(B182,""zh-TW"",""zh-CN"")"),"随机宝箱 - 装备(传奇)")</f>
        <v>随机宝箱 - 装备(传奇)</v>
      </c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6" t="s">
        <v>1060</v>
      </c>
      <c r="B183" s="72" t="s">
        <v>1640</v>
      </c>
      <c r="C183" s="68" t="s">
        <v>1641</v>
      </c>
      <c r="D183" s="81" t="s">
        <v>1642</v>
      </c>
      <c r="E183" s="38" t="s">
        <v>1643</v>
      </c>
      <c r="F183" s="66" t="str">
        <f>IFERROR(__xludf.DUMMYFUNCTION("GOOGLETRANSLATE(B183,""zh-TW"",""zh-CN"")"),"惊喜宝箱 - 装备(杰出)")</f>
        <v>惊喜宝箱 - 装备(杰出)</v>
      </c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6" t="s">
        <v>1060</v>
      </c>
      <c r="B184" s="72" t="s">
        <v>1644</v>
      </c>
      <c r="C184" s="68" t="s">
        <v>1645</v>
      </c>
      <c r="D184" s="81" t="s">
        <v>1646</v>
      </c>
      <c r="E184" s="6" t="s">
        <v>1647</v>
      </c>
      <c r="F184" s="66" t="str">
        <f>IFERROR(__xludf.DUMMYFUNCTION("GOOGLETRANSLATE(B184,""zh-TW"",""zh-CN"")"),"惊喜宝箱 - 装备(史诗)")</f>
        <v>惊喜宝箱 - 装备(史诗)</v>
      </c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6" t="s">
        <v>1060</v>
      </c>
      <c r="B185" s="79" t="s">
        <v>1648</v>
      </c>
      <c r="C185" s="77" t="s">
        <v>1649</v>
      </c>
      <c r="D185" s="6" t="s">
        <v>1650</v>
      </c>
      <c r="E185" s="38" t="s">
        <v>1651</v>
      </c>
      <c r="F185" s="66" t="str">
        <f>IFERROR(__xludf.DUMMYFUNCTION("GOOGLETRANSLATE(B185,""zh-TW"",""zh-CN"")"),"自选宝箱 - S级装备(杰出)")</f>
        <v>自选宝箱 - S级装备(杰出)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6" t="s">
        <v>1060</v>
      </c>
      <c r="B186" s="79" t="s">
        <v>1652</v>
      </c>
      <c r="C186" s="77" t="s">
        <v>1653</v>
      </c>
      <c r="D186" s="6" t="s">
        <v>1654</v>
      </c>
      <c r="E186" s="38" t="s">
        <v>1655</v>
      </c>
      <c r="F186" s="66" t="str">
        <f>IFERROR(__xludf.DUMMYFUNCTION("GOOGLETRANSLATE(B186,""zh-TW"",""zh-CN"")"),"自选宝箱 - S级装备(史诗)")</f>
        <v>自选宝箱 - S级装备(史诗)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6" t="s">
        <v>1060</v>
      </c>
      <c r="B187" s="72" t="s">
        <v>1656</v>
      </c>
      <c r="C187" s="64" t="s">
        <v>1657</v>
      </c>
      <c r="D187" s="6" t="s">
        <v>1658</v>
      </c>
      <c r="E187" s="38" t="s">
        <v>1659</v>
      </c>
      <c r="F187" s="66" t="str">
        <f>IFERROR(__xludf.DUMMYFUNCTION("GOOGLETRANSLATE(B187,""zh-TW"",""zh-CN"")"),"随机宝箱 - S级装备(杰出)")</f>
        <v>随机宝箱 - S级装备(杰出)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6" t="s">
        <v>1060</v>
      </c>
      <c r="B188" s="79" t="s">
        <v>1660</v>
      </c>
      <c r="C188" s="77" t="s">
        <v>1661</v>
      </c>
      <c r="D188" s="6" t="s">
        <v>1662</v>
      </c>
      <c r="E188" s="38" t="s">
        <v>1663</v>
      </c>
      <c r="F188" s="66" t="str">
        <f>IFERROR(__xludf.DUMMYFUNCTION("GOOGLETRANSLATE(B188,""zh-TW"",""zh-CN"")"),"自选宝箱 - 梦想家 装备(杰出)")</f>
        <v>自选宝箱 - 梦想家 装备(杰出)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6" t="s">
        <v>1060</v>
      </c>
      <c r="B189" s="79" t="s">
        <v>1664</v>
      </c>
      <c r="C189" s="70" t="s">
        <v>1665</v>
      </c>
      <c r="D189" s="6" t="s">
        <v>1666</v>
      </c>
      <c r="E189" s="38" t="s">
        <v>1667</v>
      </c>
      <c r="F189" s="66" t="str">
        <f>IFERROR(__xludf.DUMMYFUNCTION("GOOGLETRANSLATE(B189,""zh-TW"",""zh-CN"")"),"自选宝箱 - 征服者 装备(杰出)")</f>
        <v>自选宝箱 - 征服者 装备(杰出)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6"/>
      <c r="B190" s="63" t="s">
        <v>1668</v>
      </c>
      <c r="C190" s="70" t="s">
        <v>1669</v>
      </c>
      <c r="D190" s="6" t="s">
        <v>1670</v>
      </c>
      <c r="E190" s="6" t="s">
        <v>1671</v>
      </c>
      <c r="F190" s="66" t="str">
        <f>IFERROR(__xludf.DUMMYFUNCTION("GOOGLETRANSLATE(B190,""zh-TW"",""zh-CN"")"),"随机图纸")</f>
        <v>随机图纸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63" t="s">
        <v>1672</v>
      </c>
      <c r="C191" s="64" t="s">
        <v>1673</v>
      </c>
      <c r="D191" s="6" t="s">
        <v>1674</v>
      </c>
      <c r="E191" s="6" t="s">
        <v>1675</v>
      </c>
      <c r="F191" s="66" t="str">
        <f>IFERROR(__xludf.DUMMYFUNCTION("GOOGLETRANSLATE(B191,""zh-TW"",""zh-CN"")"),"柠檬汁")</f>
        <v>柠檬汁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71" t="s">
        <v>1676</v>
      </c>
      <c r="C192" s="64" t="s">
        <v>1677</v>
      </c>
      <c r="D192" s="6" t="s">
        <v>1678</v>
      </c>
      <c r="E192" s="6" t="s">
        <v>1679</v>
      </c>
      <c r="F192" s="66" t="str">
        <f>IFERROR(__xludf.DUMMYFUNCTION("GOOGLETRANSLATE(B192,""zh-TW"",""zh-CN"")"),"爆爆槌")</f>
        <v>爆爆槌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63" t="s">
        <v>1680</v>
      </c>
      <c r="C193" s="64" t="s">
        <v>1681</v>
      </c>
      <c r="D193" s="6" t="s">
        <v>1682</v>
      </c>
      <c r="E193" s="6" t="s">
        <v>1683</v>
      </c>
      <c r="F193" s="66" t="str">
        <f>IFERROR(__xludf.DUMMYFUNCTION("GOOGLETRANSLATE(B193,""zh-TW"",""zh-CN"")"),"系绊铃铛")</f>
        <v>系绊铃铛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6"/>
      <c r="B194" s="63" t="s">
        <v>1684</v>
      </c>
      <c r="C194" s="68" t="s">
        <v>1685</v>
      </c>
      <c r="D194" s="6" t="s">
        <v>1686</v>
      </c>
      <c r="E194" s="6" t="s">
        <v>1687</v>
      </c>
      <c r="F194" s="66" t="str">
        <f>IFERROR(__xludf.DUMMYFUNCTION("GOOGLETRANSLATE(B194,""zh-TW"",""zh-CN"")"),"觉醒恒星")</f>
        <v>觉醒恒星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6"/>
      <c r="B195" s="67" t="s">
        <v>1688</v>
      </c>
      <c r="C195" s="83" t="s">
        <v>1689</v>
      </c>
      <c r="D195" s="6" t="s">
        <v>1690</v>
      </c>
      <c r="E195" s="6" t="s">
        <v>1691</v>
      </c>
      <c r="F195" s="66" t="str">
        <f>IFERROR(__xludf.DUMMYFUNCTION("GOOGLETRANSLATE(B195,""zh-TW"",""zh-CN"")"),"灵晶")</f>
        <v>灵晶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37" t="s">
        <v>1692</v>
      </c>
      <c r="C196" s="70" t="s">
        <v>1693</v>
      </c>
      <c r="D196" s="6" t="s">
        <v>1694</v>
      </c>
      <c r="E196" s="6" t="s">
        <v>1695</v>
      </c>
      <c r="F196" s="66" t="str">
        <f>IFERROR(__xludf.DUMMYFUNCTION("GOOGLETRANSLATE(B196,""zh-TW"",""zh-CN"")"),"S级装备宝箱")</f>
        <v>S级装备宝箱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63" t="s">
        <v>1696</v>
      </c>
      <c r="C197" s="74" t="s">
        <v>1697</v>
      </c>
      <c r="D197" s="6" t="s">
        <v>1698</v>
      </c>
      <c r="E197" s="6" t="s">
        <v>1699</v>
      </c>
      <c r="F197" s="66" t="str">
        <f>IFERROR(__xludf.DUMMYFUNCTION("GOOGLETRANSLATE(B197,""zh-TW"",""zh-CN"")"),"S级装备钥匙")</f>
        <v>S级装备钥匙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73" t="s">
        <v>1700</v>
      </c>
      <c r="C198" s="70" t="s">
        <v>1701</v>
      </c>
      <c r="D198" s="6" t="s">
        <v>1702</v>
      </c>
      <c r="E198" s="6" t="s">
        <v>1703</v>
      </c>
      <c r="F198" s="66" t="str">
        <f>IFERROR(__xludf.DUMMYFUNCTION("GOOGLETRANSLATE(B198,""zh-TW"",""zh-CN"")"),"免广告券")</f>
        <v>免广告券</v>
      </c>
      <c r="G198" s="6" t="s">
        <v>1704</v>
      </c>
      <c r="H198" s="6" t="s">
        <v>1705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73" t="s">
        <v>1706</v>
      </c>
      <c r="C199" s="64" t="s">
        <v>1707</v>
      </c>
      <c r="D199" s="81" t="s">
        <v>1708</v>
      </c>
      <c r="E199" s="38" t="s">
        <v>1709</v>
      </c>
      <c r="F199" s="66" t="str">
        <f>IFERROR(__xludf.DUMMYFUNCTION("GOOGLETRANSLATE(B199,""zh-TW"",""zh-CN"")"),"惊喜宝箱 - 灵晶(优秀)")</f>
        <v>惊喜宝箱 - 灵晶(优秀)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73" t="s">
        <v>1710</v>
      </c>
      <c r="C200" s="64" t="s">
        <v>1711</v>
      </c>
      <c r="D200" s="81" t="s">
        <v>1712</v>
      </c>
      <c r="E200" s="38" t="s">
        <v>1713</v>
      </c>
      <c r="F200" s="66" t="str">
        <f>IFERROR(__xludf.DUMMYFUNCTION("GOOGLETRANSLATE(B200,""zh-TW"",""zh-CN"")"),"惊喜宝箱 - 灵晶(杰出)")</f>
        <v>惊喜宝箱 - 灵晶(杰出)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37" t="s">
        <v>1714</v>
      </c>
      <c r="C201" s="64" t="s">
        <v>1715</v>
      </c>
      <c r="D201" s="81" t="s">
        <v>1716</v>
      </c>
      <c r="E201" s="38" t="s">
        <v>1717</v>
      </c>
      <c r="F201" s="66" t="str">
        <f>IFERROR(__xludf.DUMMYFUNCTION("GOOGLETRANSLATE(B201,""zh-TW"",""zh-CN"")"),"惊喜宝箱 - 灵晶(史诗)")</f>
        <v>惊喜宝箱 - 灵晶(史诗)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37" t="s">
        <v>1718</v>
      </c>
      <c r="C202" s="70" t="s">
        <v>1719</v>
      </c>
      <c r="D202" s="5"/>
      <c r="E202" s="5"/>
      <c r="F202" s="6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37" t="s">
        <v>1720</v>
      </c>
      <c r="C203" s="70" t="s">
        <v>1721</v>
      </c>
      <c r="D203" s="5"/>
      <c r="E203" s="5"/>
      <c r="F203" s="6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63"/>
      <c r="C204" s="64"/>
      <c r="D204" s="5"/>
      <c r="E204" s="5"/>
      <c r="F204" s="6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63"/>
      <c r="C205" s="64"/>
      <c r="D205" s="5"/>
      <c r="E205" s="5"/>
      <c r="F205" s="6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63"/>
      <c r="C206" s="64"/>
      <c r="D206" s="5"/>
      <c r="E206" s="5"/>
      <c r="F206" s="6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63"/>
      <c r="C207" s="64"/>
      <c r="D207" s="5"/>
      <c r="E207" s="5"/>
      <c r="F207" s="6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63"/>
      <c r="C208" s="64"/>
      <c r="D208" s="5"/>
      <c r="E208" s="5"/>
      <c r="F208" s="6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63"/>
      <c r="C209" s="64"/>
      <c r="D209" s="5"/>
      <c r="E209" s="5"/>
      <c r="F209" s="6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63"/>
      <c r="C210" s="64"/>
      <c r="D210" s="5"/>
      <c r="E210" s="5"/>
      <c r="F210" s="6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63"/>
      <c r="C211" s="64"/>
      <c r="D211" s="5"/>
      <c r="E211" s="5"/>
      <c r="F211" s="6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63"/>
      <c r="C212" s="64"/>
      <c r="D212" s="5"/>
      <c r="E212" s="5"/>
      <c r="F212" s="6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63"/>
      <c r="C213" s="64"/>
      <c r="D213" s="5"/>
      <c r="E213" s="5"/>
      <c r="F213" s="6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63"/>
      <c r="C214" s="64"/>
      <c r="D214" s="5"/>
      <c r="E214" s="5"/>
      <c r="F214" s="6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63"/>
      <c r="C215" s="64"/>
      <c r="D215" s="5"/>
      <c r="E215" s="5"/>
      <c r="F215" s="6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63"/>
      <c r="C216" s="64"/>
      <c r="D216" s="5"/>
      <c r="E216" s="5"/>
      <c r="F216" s="6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63"/>
      <c r="C217" s="64"/>
      <c r="D217" s="5"/>
      <c r="E217" s="5"/>
      <c r="F217" s="6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63"/>
      <c r="C218" s="64"/>
      <c r="D218" s="5"/>
      <c r="E218" s="5"/>
      <c r="F218" s="6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63"/>
      <c r="C219" s="64"/>
      <c r="D219" s="5"/>
      <c r="E219" s="5"/>
      <c r="F219" s="6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63"/>
      <c r="C220" s="64"/>
      <c r="D220" s="5"/>
      <c r="E220" s="5"/>
      <c r="F220" s="6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63"/>
      <c r="C221" s="64"/>
      <c r="D221" s="5"/>
      <c r="E221" s="5"/>
      <c r="F221" s="6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63"/>
      <c r="C222" s="64"/>
      <c r="D222" s="5"/>
      <c r="E222" s="5"/>
      <c r="F222" s="6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63"/>
      <c r="C223" s="64"/>
      <c r="D223" s="5"/>
      <c r="E223" s="5"/>
      <c r="F223" s="6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63"/>
      <c r="C224" s="64"/>
      <c r="D224" s="5"/>
      <c r="E224" s="5"/>
      <c r="F224" s="6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63"/>
      <c r="C225" s="64"/>
      <c r="D225" s="5"/>
      <c r="E225" s="5"/>
      <c r="F225" s="6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63"/>
      <c r="C226" s="64"/>
      <c r="D226" s="5"/>
      <c r="E226" s="5"/>
      <c r="F226" s="6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63"/>
      <c r="C227" s="64"/>
      <c r="D227" s="5"/>
      <c r="E227" s="5"/>
      <c r="F227" s="6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63"/>
      <c r="C228" s="64"/>
      <c r="D228" s="5"/>
      <c r="E228" s="5"/>
      <c r="F228" s="6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63"/>
      <c r="C229" s="64"/>
      <c r="D229" s="5"/>
      <c r="E229" s="5"/>
      <c r="F229" s="6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63"/>
      <c r="C230" s="64"/>
      <c r="D230" s="5"/>
      <c r="E230" s="5"/>
      <c r="F230" s="6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63"/>
      <c r="C231" s="64"/>
      <c r="D231" s="5"/>
      <c r="E231" s="5"/>
      <c r="F231" s="6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63"/>
      <c r="C232" s="64"/>
      <c r="D232" s="5"/>
      <c r="E232" s="5"/>
      <c r="F232" s="6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63"/>
      <c r="C233" s="64"/>
      <c r="D233" s="5"/>
      <c r="E233" s="5"/>
      <c r="F233" s="6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63"/>
      <c r="C234" s="64"/>
      <c r="D234" s="5"/>
      <c r="E234" s="5"/>
      <c r="F234" s="6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63"/>
      <c r="C235" s="64"/>
      <c r="D235" s="5"/>
      <c r="E235" s="5"/>
      <c r="F235" s="6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63"/>
      <c r="C236" s="64"/>
      <c r="D236" s="5"/>
      <c r="E236" s="5"/>
      <c r="F236" s="6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63"/>
      <c r="C237" s="64"/>
      <c r="D237" s="5"/>
      <c r="E237" s="5"/>
      <c r="F237" s="6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63"/>
      <c r="C238" s="64"/>
      <c r="D238" s="5"/>
      <c r="E238" s="5"/>
      <c r="F238" s="6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63"/>
      <c r="C239" s="64"/>
      <c r="D239" s="5"/>
      <c r="E239" s="5"/>
      <c r="F239" s="6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63"/>
      <c r="C240" s="64"/>
      <c r="D240" s="5"/>
      <c r="E240" s="5"/>
      <c r="F240" s="6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63"/>
      <c r="C241" s="64"/>
      <c r="D241" s="5"/>
      <c r="E241" s="5"/>
      <c r="F241" s="6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63"/>
      <c r="C242" s="64"/>
      <c r="D242" s="5"/>
      <c r="E242" s="5"/>
      <c r="F242" s="6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63"/>
      <c r="C243" s="64"/>
      <c r="D243" s="5"/>
      <c r="E243" s="5"/>
      <c r="F243" s="6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63"/>
      <c r="C244" s="64"/>
      <c r="D244" s="5"/>
      <c r="E244" s="5"/>
      <c r="F244" s="6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63"/>
      <c r="C245" s="64"/>
      <c r="D245" s="5"/>
      <c r="E245" s="5"/>
      <c r="F245" s="6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63"/>
      <c r="C246" s="64"/>
      <c r="D246" s="5"/>
      <c r="E246" s="5"/>
      <c r="F246" s="6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63"/>
      <c r="C247" s="64"/>
      <c r="D247" s="5"/>
      <c r="E247" s="5"/>
      <c r="F247" s="6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63"/>
      <c r="C248" s="64"/>
      <c r="D248" s="5"/>
      <c r="E248" s="5"/>
      <c r="F248" s="6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63"/>
      <c r="C249" s="64"/>
      <c r="D249" s="5"/>
      <c r="E249" s="5"/>
      <c r="F249" s="6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63"/>
      <c r="C250" s="64"/>
      <c r="D250" s="5"/>
      <c r="E250" s="5"/>
      <c r="F250" s="6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63"/>
      <c r="C251" s="64"/>
      <c r="D251" s="5"/>
      <c r="E251" s="5"/>
      <c r="F251" s="6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63"/>
      <c r="C252" s="64"/>
      <c r="D252" s="5"/>
      <c r="E252" s="5"/>
      <c r="F252" s="6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63"/>
      <c r="C253" s="64"/>
      <c r="D253" s="5"/>
      <c r="E253" s="5"/>
      <c r="F253" s="6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63"/>
      <c r="C254" s="64"/>
      <c r="D254" s="5"/>
      <c r="E254" s="5"/>
      <c r="F254" s="6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63"/>
      <c r="C255" s="64"/>
      <c r="D255" s="5"/>
      <c r="E255" s="5"/>
      <c r="F255" s="6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63"/>
      <c r="C256" s="64"/>
      <c r="D256" s="5"/>
      <c r="E256" s="5"/>
      <c r="F256" s="6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63"/>
      <c r="C257" s="64"/>
      <c r="D257" s="5"/>
      <c r="E257" s="5"/>
      <c r="F257" s="6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63"/>
      <c r="C258" s="64"/>
      <c r="D258" s="5"/>
      <c r="E258" s="5"/>
      <c r="F258" s="6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63"/>
      <c r="C259" s="64"/>
      <c r="D259" s="5"/>
      <c r="E259" s="5"/>
      <c r="F259" s="6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63"/>
      <c r="C260" s="64"/>
      <c r="D260" s="5"/>
      <c r="E260" s="5"/>
      <c r="F260" s="6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63"/>
      <c r="C261" s="64"/>
      <c r="D261" s="5"/>
      <c r="E261" s="5"/>
      <c r="F261" s="6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63"/>
      <c r="C262" s="64"/>
      <c r="D262" s="5"/>
      <c r="E262" s="5"/>
      <c r="F262" s="6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63"/>
      <c r="C263" s="64"/>
      <c r="D263" s="5"/>
      <c r="E263" s="5"/>
      <c r="F263" s="6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63"/>
      <c r="C264" s="64"/>
      <c r="D264" s="5"/>
      <c r="E264" s="5"/>
      <c r="F264" s="6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63"/>
      <c r="C265" s="64"/>
      <c r="D265" s="5"/>
      <c r="E265" s="5"/>
      <c r="F265" s="6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63"/>
      <c r="C266" s="64"/>
      <c r="D266" s="5"/>
      <c r="E266" s="5"/>
      <c r="F266" s="6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63"/>
      <c r="C267" s="64"/>
      <c r="D267" s="5"/>
      <c r="E267" s="5"/>
      <c r="F267" s="6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63"/>
      <c r="C268" s="64"/>
      <c r="D268" s="5"/>
      <c r="E268" s="5"/>
      <c r="F268" s="6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63"/>
      <c r="C269" s="64"/>
      <c r="D269" s="5"/>
      <c r="E269" s="5"/>
      <c r="F269" s="6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63"/>
      <c r="C270" s="64"/>
      <c r="D270" s="5"/>
      <c r="E270" s="5"/>
      <c r="F270" s="6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63"/>
      <c r="C271" s="64"/>
      <c r="D271" s="5"/>
      <c r="E271" s="5"/>
      <c r="F271" s="6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63"/>
      <c r="C272" s="64"/>
      <c r="D272" s="5"/>
      <c r="E272" s="5"/>
      <c r="F272" s="6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63"/>
      <c r="C273" s="64"/>
      <c r="D273" s="5"/>
      <c r="E273" s="5"/>
      <c r="F273" s="6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63"/>
      <c r="C274" s="64"/>
      <c r="D274" s="5"/>
      <c r="E274" s="5"/>
      <c r="F274" s="6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63"/>
      <c r="C275" s="64"/>
      <c r="D275" s="5"/>
      <c r="E275" s="5"/>
      <c r="F275" s="6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63"/>
      <c r="C276" s="64"/>
      <c r="D276" s="5"/>
      <c r="E276" s="5"/>
      <c r="F276" s="6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63"/>
      <c r="C277" s="64"/>
      <c r="D277" s="5"/>
      <c r="E277" s="5"/>
      <c r="F277" s="6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63"/>
      <c r="C278" s="64"/>
      <c r="D278" s="5"/>
      <c r="E278" s="5"/>
      <c r="F278" s="6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63"/>
      <c r="C279" s="64"/>
      <c r="D279" s="5"/>
      <c r="E279" s="5"/>
      <c r="F279" s="6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63"/>
      <c r="C280" s="64"/>
      <c r="D280" s="5"/>
      <c r="E280" s="5"/>
      <c r="F280" s="6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63"/>
      <c r="C281" s="64"/>
      <c r="D281" s="5"/>
      <c r="E281" s="5"/>
      <c r="F281" s="6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63"/>
      <c r="C282" s="64"/>
      <c r="D282" s="5"/>
      <c r="E282" s="5"/>
      <c r="F282" s="6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63"/>
      <c r="C283" s="64"/>
      <c r="D283" s="5"/>
      <c r="E283" s="5"/>
      <c r="F283" s="6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63"/>
      <c r="C284" s="64"/>
      <c r="D284" s="5"/>
      <c r="E284" s="5"/>
      <c r="F284" s="6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63"/>
      <c r="C285" s="64"/>
      <c r="D285" s="5"/>
      <c r="E285" s="5"/>
      <c r="F285" s="6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63"/>
      <c r="C286" s="64"/>
      <c r="D286" s="5"/>
      <c r="E286" s="5"/>
      <c r="F286" s="6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63"/>
      <c r="C287" s="64"/>
      <c r="D287" s="5"/>
      <c r="E287" s="5"/>
      <c r="F287" s="6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63"/>
      <c r="C288" s="64"/>
      <c r="D288" s="5"/>
      <c r="E288" s="5"/>
      <c r="F288" s="6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63"/>
      <c r="C289" s="64"/>
      <c r="D289" s="5"/>
      <c r="E289" s="5"/>
      <c r="F289" s="6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63"/>
      <c r="C290" s="64"/>
      <c r="D290" s="5"/>
      <c r="E290" s="5"/>
      <c r="F290" s="6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63"/>
      <c r="C291" s="64"/>
      <c r="D291" s="5"/>
      <c r="E291" s="5"/>
      <c r="F291" s="6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63"/>
      <c r="C292" s="64"/>
      <c r="D292" s="5"/>
      <c r="E292" s="5"/>
      <c r="F292" s="6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63"/>
      <c r="C293" s="64"/>
      <c r="D293" s="5"/>
      <c r="E293" s="5"/>
      <c r="F293" s="6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63"/>
      <c r="C294" s="64"/>
      <c r="D294" s="5"/>
      <c r="E294" s="5"/>
      <c r="F294" s="6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63"/>
      <c r="C295" s="64"/>
      <c r="D295" s="5"/>
      <c r="E295" s="5"/>
      <c r="F295" s="6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63"/>
      <c r="C296" s="64"/>
      <c r="D296" s="5"/>
      <c r="E296" s="5"/>
      <c r="F296" s="6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63"/>
      <c r="C297" s="64"/>
      <c r="D297" s="5"/>
      <c r="E297" s="5"/>
      <c r="F297" s="6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63"/>
      <c r="C298" s="64"/>
      <c r="D298" s="5"/>
      <c r="E298" s="5"/>
      <c r="F298" s="6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63"/>
      <c r="C299" s="64"/>
      <c r="D299" s="5"/>
      <c r="E299" s="5"/>
      <c r="F299" s="6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63"/>
      <c r="C300" s="64"/>
      <c r="D300" s="5"/>
      <c r="E300" s="5"/>
      <c r="F300" s="6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63"/>
      <c r="C301" s="64"/>
      <c r="D301" s="5"/>
      <c r="E301" s="5"/>
      <c r="F301" s="6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63"/>
      <c r="C302" s="64"/>
      <c r="D302" s="5"/>
      <c r="E302" s="5"/>
      <c r="F302" s="6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63"/>
      <c r="C303" s="64"/>
      <c r="D303" s="5"/>
      <c r="E303" s="5"/>
      <c r="F303" s="6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63"/>
      <c r="C304" s="64"/>
      <c r="D304" s="5"/>
      <c r="E304" s="5"/>
      <c r="F304" s="6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63"/>
      <c r="C305" s="64"/>
      <c r="D305" s="5"/>
      <c r="E305" s="5"/>
      <c r="F305" s="6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63"/>
      <c r="C306" s="64"/>
      <c r="D306" s="5"/>
      <c r="E306" s="5"/>
      <c r="F306" s="6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63"/>
      <c r="C307" s="64"/>
      <c r="D307" s="5"/>
      <c r="E307" s="5"/>
      <c r="F307" s="6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63"/>
      <c r="C308" s="64"/>
      <c r="D308" s="5"/>
      <c r="E308" s="5"/>
      <c r="F308" s="6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63"/>
      <c r="C309" s="64"/>
      <c r="D309" s="5"/>
      <c r="E309" s="5"/>
      <c r="F309" s="6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63"/>
      <c r="C310" s="64"/>
      <c r="D310" s="5"/>
      <c r="E310" s="5"/>
      <c r="F310" s="6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63"/>
      <c r="C311" s="64"/>
      <c r="D311" s="5"/>
      <c r="E311" s="5"/>
      <c r="F311" s="6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63"/>
      <c r="C312" s="64"/>
      <c r="D312" s="5"/>
      <c r="E312" s="5"/>
      <c r="F312" s="6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63"/>
      <c r="C313" s="64"/>
      <c r="D313" s="5"/>
      <c r="E313" s="5"/>
      <c r="F313" s="6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63"/>
      <c r="C314" s="64"/>
      <c r="D314" s="5"/>
      <c r="E314" s="5"/>
      <c r="F314" s="6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63"/>
      <c r="C315" s="64"/>
      <c r="D315" s="5"/>
      <c r="E315" s="5"/>
      <c r="F315" s="6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63"/>
      <c r="C316" s="64"/>
      <c r="D316" s="5"/>
      <c r="E316" s="5"/>
      <c r="F316" s="6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63"/>
      <c r="C317" s="64"/>
      <c r="D317" s="5"/>
      <c r="E317" s="5"/>
      <c r="F317" s="6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63"/>
      <c r="C318" s="64"/>
      <c r="D318" s="5"/>
      <c r="E318" s="5"/>
      <c r="F318" s="6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63"/>
      <c r="C319" s="64"/>
      <c r="D319" s="5"/>
      <c r="E319" s="5"/>
      <c r="F319" s="6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63"/>
      <c r="C320" s="64"/>
      <c r="D320" s="5"/>
      <c r="E320" s="5"/>
      <c r="F320" s="6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63"/>
      <c r="C321" s="64"/>
      <c r="D321" s="5"/>
      <c r="E321" s="5"/>
      <c r="F321" s="6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63"/>
      <c r="C322" s="64"/>
      <c r="D322" s="5"/>
      <c r="E322" s="5"/>
      <c r="F322" s="6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63"/>
      <c r="C323" s="64"/>
      <c r="D323" s="5"/>
      <c r="E323" s="5"/>
      <c r="F323" s="6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63"/>
      <c r="C324" s="64"/>
      <c r="D324" s="5"/>
      <c r="E324" s="5"/>
      <c r="F324" s="6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63"/>
      <c r="C325" s="64"/>
      <c r="D325" s="5"/>
      <c r="E325" s="5"/>
      <c r="F325" s="6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63"/>
      <c r="C326" s="64"/>
      <c r="D326" s="5"/>
      <c r="E326" s="5"/>
      <c r="F326" s="6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63"/>
      <c r="C327" s="64"/>
      <c r="D327" s="5"/>
      <c r="E327" s="5"/>
      <c r="F327" s="6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63"/>
      <c r="C328" s="64"/>
      <c r="D328" s="5"/>
      <c r="E328" s="5"/>
      <c r="F328" s="6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63"/>
      <c r="C329" s="64"/>
      <c r="D329" s="5"/>
      <c r="E329" s="5"/>
      <c r="F329" s="6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63"/>
      <c r="C330" s="64"/>
      <c r="D330" s="5"/>
      <c r="E330" s="5"/>
      <c r="F330" s="6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63"/>
      <c r="C331" s="64"/>
      <c r="D331" s="5"/>
      <c r="E331" s="5"/>
      <c r="F331" s="6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63"/>
      <c r="C332" s="64"/>
      <c r="D332" s="5"/>
      <c r="E332" s="5"/>
      <c r="F332" s="6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63"/>
      <c r="C333" s="64"/>
      <c r="D333" s="5"/>
      <c r="E333" s="5"/>
      <c r="F333" s="6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63"/>
      <c r="C334" s="64"/>
      <c r="D334" s="5"/>
      <c r="E334" s="5"/>
      <c r="F334" s="6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63"/>
      <c r="C335" s="64"/>
      <c r="D335" s="5"/>
      <c r="E335" s="5"/>
      <c r="F335" s="6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63"/>
      <c r="C336" s="64"/>
      <c r="D336" s="5"/>
      <c r="E336" s="5"/>
      <c r="F336" s="6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63"/>
      <c r="C337" s="64"/>
      <c r="D337" s="5"/>
      <c r="E337" s="5"/>
      <c r="F337" s="6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63"/>
      <c r="C338" s="64"/>
      <c r="D338" s="5"/>
      <c r="E338" s="5"/>
      <c r="F338" s="6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63"/>
      <c r="C339" s="64"/>
      <c r="D339" s="5"/>
      <c r="E339" s="5"/>
      <c r="F339" s="6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63"/>
      <c r="C340" s="64"/>
      <c r="D340" s="5"/>
      <c r="E340" s="5"/>
      <c r="F340" s="6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63"/>
      <c r="C341" s="64"/>
      <c r="D341" s="5"/>
      <c r="E341" s="5"/>
      <c r="F341" s="6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63"/>
      <c r="C342" s="64"/>
      <c r="D342" s="5"/>
      <c r="E342" s="5"/>
      <c r="F342" s="6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63"/>
      <c r="C343" s="64"/>
      <c r="D343" s="5"/>
      <c r="E343" s="5"/>
      <c r="F343" s="6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63"/>
      <c r="C344" s="64"/>
      <c r="D344" s="5"/>
      <c r="E344" s="5"/>
      <c r="F344" s="6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63"/>
      <c r="C345" s="64"/>
      <c r="D345" s="5"/>
      <c r="E345" s="5"/>
      <c r="F345" s="6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63"/>
      <c r="C346" s="64"/>
      <c r="D346" s="5"/>
      <c r="E346" s="5"/>
      <c r="F346" s="6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63"/>
      <c r="C347" s="64"/>
      <c r="D347" s="5"/>
      <c r="E347" s="5"/>
      <c r="F347" s="6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63"/>
      <c r="C348" s="64"/>
      <c r="D348" s="5"/>
      <c r="E348" s="5"/>
      <c r="F348" s="6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63"/>
      <c r="C349" s="64"/>
      <c r="D349" s="5"/>
      <c r="E349" s="5"/>
      <c r="F349" s="6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63"/>
      <c r="C350" s="64"/>
      <c r="D350" s="5"/>
      <c r="E350" s="5"/>
      <c r="F350" s="6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63"/>
      <c r="C351" s="64"/>
      <c r="D351" s="5"/>
      <c r="E351" s="5"/>
      <c r="F351" s="6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63"/>
      <c r="C352" s="64"/>
      <c r="D352" s="5"/>
      <c r="E352" s="5"/>
      <c r="F352" s="6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63"/>
      <c r="C353" s="64"/>
      <c r="D353" s="5"/>
      <c r="E353" s="5"/>
      <c r="F353" s="6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63"/>
      <c r="C354" s="64"/>
      <c r="D354" s="5"/>
      <c r="E354" s="5"/>
      <c r="F354" s="6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63"/>
      <c r="C355" s="64"/>
      <c r="D355" s="5"/>
      <c r="E355" s="5"/>
      <c r="F355" s="6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63"/>
      <c r="C356" s="64"/>
      <c r="D356" s="5"/>
      <c r="E356" s="5"/>
      <c r="F356" s="6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63"/>
      <c r="C357" s="64"/>
      <c r="D357" s="5"/>
      <c r="E357" s="5"/>
      <c r="F357" s="6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63"/>
      <c r="C358" s="64"/>
      <c r="D358" s="5"/>
      <c r="E358" s="5"/>
      <c r="F358" s="6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63"/>
      <c r="C359" s="64"/>
      <c r="D359" s="5"/>
      <c r="E359" s="5"/>
      <c r="F359" s="6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63"/>
      <c r="C360" s="64"/>
      <c r="D360" s="5"/>
      <c r="E360" s="5"/>
      <c r="F360" s="6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63"/>
      <c r="C361" s="64"/>
      <c r="D361" s="5"/>
      <c r="E361" s="5"/>
      <c r="F361" s="6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63"/>
      <c r="C362" s="64"/>
      <c r="D362" s="5"/>
      <c r="E362" s="5"/>
      <c r="F362" s="6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63"/>
      <c r="C363" s="64"/>
      <c r="D363" s="5"/>
      <c r="E363" s="5"/>
      <c r="F363" s="6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63"/>
      <c r="C364" s="64"/>
      <c r="D364" s="5"/>
      <c r="E364" s="5"/>
      <c r="F364" s="6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63"/>
      <c r="C365" s="64"/>
      <c r="D365" s="5"/>
      <c r="E365" s="5"/>
      <c r="F365" s="6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63"/>
      <c r="C366" s="64"/>
      <c r="D366" s="5"/>
      <c r="E366" s="5"/>
      <c r="F366" s="6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63"/>
      <c r="C367" s="64"/>
      <c r="D367" s="5"/>
      <c r="E367" s="5"/>
      <c r="F367" s="6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63"/>
      <c r="C368" s="64"/>
      <c r="D368" s="5"/>
      <c r="E368" s="5"/>
      <c r="F368" s="6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63"/>
      <c r="C369" s="64"/>
      <c r="D369" s="5"/>
      <c r="E369" s="5"/>
      <c r="F369" s="6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63"/>
      <c r="C370" s="64"/>
      <c r="D370" s="5"/>
      <c r="E370" s="5"/>
      <c r="F370" s="6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63"/>
      <c r="C371" s="64"/>
      <c r="D371" s="5"/>
      <c r="E371" s="5"/>
      <c r="F371" s="6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63"/>
      <c r="C372" s="64"/>
      <c r="D372" s="5"/>
      <c r="E372" s="5"/>
      <c r="F372" s="6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63"/>
      <c r="C373" s="64"/>
      <c r="D373" s="5"/>
      <c r="E373" s="5"/>
      <c r="F373" s="6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63"/>
      <c r="C374" s="64"/>
      <c r="D374" s="5"/>
      <c r="E374" s="5"/>
      <c r="F374" s="6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63"/>
      <c r="C375" s="64"/>
      <c r="D375" s="5"/>
      <c r="E375" s="5"/>
      <c r="F375" s="6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63"/>
      <c r="C376" s="64"/>
      <c r="D376" s="5"/>
      <c r="E376" s="5"/>
      <c r="F376" s="6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63"/>
      <c r="C377" s="64"/>
      <c r="D377" s="5"/>
      <c r="E377" s="5"/>
      <c r="F377" s="6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63"/>
      <c r="C378" s="64"/>
      <c r="D378" s="5"/>
      <c r="E378" s="5"/>
      <c r="F378" s="6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63"/>
      <c r="C379" s="64"/>
      <c r="D379" s="5"/>
      <c r="E379" s="5"/>
      <c r="F379" s="6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63"/>
      <c r="C380" s="64"/>
      <c r="D380" s="5"/>
      <c r="E380" s="5"/>
      <c r="F380" s="6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63"/>
      <c r="C381" s="64"/>
      <c r="D381" s="5"/>
      <c r="E381" s="5"/>
      <c r="F381" s="6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63"/>
      <c r="C382" s="64"/>
      <c r="D382" s="5"/>
      <c r="E382" s="5"/>
      <c r="F382" s="6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63"/>
      <c r="C383" s="64"/>
      <c r="D383" s="5"/>
      <c r="E383" s="5"/>
      <c r="F383" s="6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63"/>
      <c r="C384" s="64"/>
      <c r="D384" s="5"/>
      <c r="E384" s="5"/>
      <c r="F384" s="6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63"/>
      <c r="C385" s="64"/>
      <c r="D385" s="5"/>
      <c r="E385" s="5"/>
      <c r="F385" s="6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63"/>
      <c r="C386" s="64"/>
      <c r="D386" s="5"/>
      <c r="E386" s="5"/>
      <c r="F386" s="6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63"/>
      <c r="C387" s="64"/>
      <c r="D387" s="5"/>
      <c r="E387" s="5"/>
      <c r="F387" s="6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63"/>
      <c r="C388" s="64"/>
      <c r="D388" s="5"/>
      <c r="E388" s="5"/>
      <c r="F388" s="6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63"/>
      <c r="C389" s="64"/>
      <c r="D389" s="5"/>
      <c r="E389" s="5"/>
      <c r="F389" s="6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63"/>
      <c r="C390" s="64"/>
      <c r="D390" s="5"/>
      <c r="E390" s="5"/>
      <c r="F390" s="6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63"/>
      <c r="C391" s="64"/>
      <c r="D391" s="5"/>
      <c r="E391" s="5"/>
      <c r="F391" s="6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63"/>
      <c r="C392" s="64"/>
      <c r="D392" s="5"/>
      <c r="E392" s="5"/>
      <c r="F392" s="6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63"/>
      <c r="C393" s="64"/>
      <c r="D393" s="5"/>
      <c r="E393" s="5"/>
      <c r="F393" s="6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63"/>
      <c r="C394" s="64"/>
      <c r="D394" s="5"/>
      <c r="E394" s="5"/>
      <c r="F394" s="6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63"/>
      <c r="C395" s="64"/>
      <c r="D395" s="5"/>
      <c r="E395" s="5"/>
      <c r="F395" s="6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63"/>
      <c r="C396" s="64"/>
      <c r="D396" s="5"/>
      <c r="E396" s="5"/>
      <c r="F396" s="6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63"/>
      <c r="C397" s="64"/>
      <c r="D397" s="5"/>
      <c r="E397" s="5"/>
      <c r="F397" s="6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63"/>
      <c r="C398" s="64"/>
      <c r="D398" s="5"/>
      <c r="E398" s="5"/>
      <c r="F398" s="6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63"/>
      <c r="C399" s="64"/>
      <c r="D399" s="5"/>
      <c r="E399" s="5"/>
      <c r="F399" s="6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63"/>
      <c r="C400" s="64"/>
      <c r="D400" s="5"/>
      <c r="E400" s="5"/>
      <c r="F400" s="6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63"/>
      <c r="C401" s="64"/>
      <c r="D401" s="5"/>
      <c r="E401" s="5"/>
      <c r="F401" s="6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63"/>
      <c r="C402" s="64"/>
      <c r="D402" s="5"/>
      <c r="E402" s="5"/>
      <c r="F402" s="6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63"/>
      <c r="C403" s="64"/>
      <c r="D403" s="5"/>
      <c r="E403" s="5"/>
      <c r="F403" s="6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63"/>
      <c r="C404" s="64"/>
      <c r="D404" s="5"/>
      <c r="E404" s="5"/>
      <c r="F404" s="6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63"/>
      <c r="C405" s="64"/>
      <c r="D405" s="5"/>
      <c r="E405" s="5"/>
      <c r="F405" s="6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63"/>
      <c r="C406" s="64"/>
      <c r="D406" s="5"/>
      <c r="E406" s="5"/>
      <c r="F406" s="6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63"/>
      <c r="C407" s="64"/>
      <c r="D407" s="5"/>
      <c r="E407" s="5"/>
      <c r="F407" s="6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63"/>
      <c r="C408" s="64"/>
      <c r="D408" s="5"/>
      <c r="E408" s="5"/>
      <c r="F408" s="6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63"/>
      <c r="C409" s="64"/>
      <c r="D409" s="5"/>
      <c r="E409" s="5"/>
      <c r="F409" s="6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63"/>
      <c r="C410" s="64"/>
      <c r="D410" s="5"/>
      <c r="E410" s="5"/>
      <c r="F410" s="6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63"/>
      <c r="C411" s="64"/>
      <c r="D411" s="5"/>
      <c r="E411" s="5"/>
      <c r="F411" s="6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63"/>
      <c r="C412" s="64"/>
      <c r="D412" s="5"/>
      <c r="E412" s="5"/>
      <c r="F412" s="6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63"/>
      <c r="C413" s="64"/>
      <c r="D413" s="5"/>
      <c r="E413" s="5"/>
      <c r="F413" s="6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63"/>
      <c r="C414" s="64"/>
      <c r="D414" s="5"/>
      <c r="E414" s="5"/>
      <c r="F414" s="6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63"/>
      <c r="C415" s="64"/>
      <c r="D415" s="5"/>
      <c r="E415" s="5"/>
      <c r="F415" s="6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63"/>
      <c r="C416" s="64"/>
      <c r="D416" s="5"/>
      <c r="E416" s="5"/>
      <c r="F416" s="6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63"/>
      <c r="C417" s="64"/>
      <c r="D417" s="5"/>
      <c r="E417" s="5"/>
      <c r="F417" s="6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63"/>
      <c r="C418" s="64"/>
      <c r="D418" s="5"/>
      <c r="E418" s="5"/>
      <c r="F418" s="6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63"/>
      <c r="C419" s="64"/>
      <c r="D419" s="5"/>
      <c r="E419" s="5"/>
      <c r="F419" s="6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63"/>
      <c r="C420" s="64"/>
      <c r="D420" s="5"/>
      <c r="E420" s="5"/>
      <c r="F420" s="6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63"/>
      <c r="C421" s="64"/>
      <c r="D421" s="5"/>
      <c r="E421" s="5"/>
      <c r="F421" s="6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63"/>
      <c r="C422" s="64"/>
      <c r="D422" s="5"/>
      <c r="E422" s="5"/>
      <c r="F422" s="6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63"/>
      <c r="C423" s="64"/>
      <c r="D423" s="5"/>
      <c r="E423" s="5"/>
      <c r="F423" s="6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63"/>
      <c r="C424" s="64"/>
      <c r="D424" s="5"/>
      <c r="E424" s="5"/>
      <c r="F424" s="6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63"/>
      <c r="C425" s="64"/>
      <c r="D425" s="5"/>
      <c r="E425" s="5"/>
      <c r="F425" s="6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63"/>
      <c r="C426" s="64"/>
      <c r="D426" s="5"/>
      <c r="E426" s="5"/>
      <c r="F426" s="6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63"/>
      <c r="C427" s="64"/>
      <c r="D427" s="5"/>
      <c r="E427" s="5"/>
      <c r="F427" s="6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63"/>
      <c r="C428" s="64"/>
      <c r="D428" s="5"/>
      <c r="E428" s="5"/>
      <c r="F428" s="6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63"/>
      <c r="C429" s="64"/>
      <c r="D429" s="5"/>
      <c r="E429" s="5"/>
      <c r="F429" s="6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63"/>
      <c r="C430" s="64"/>
      <c r="D430" s="5"/>
      <c r="E430" s="5"/>
      <c r="F430" s="6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63"/>
      <c r="C431" s="64"/>
      <c r="D431" s="5"/>
      <c r="E431" s="5"/>
      <c r="F431" s="6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63"/>
      <c r="C432" s="64"/>
      <c r="D432" s="5"/>
      <c r="E432" s="5"/>
      <c r="F432" s="6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63"/>
      <c r="C433" s="64"/>
      <c r="D433" s="5"/>
      <c r="E433" s="5"/>
      <c r="F433" s="6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63"/>
      <c r="C434" s="64"/>
      <c r="D434" s="5"/>
      <c r="E434" s="5"/>
      <c r="F434" s="6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63"/>
      <c r="C435" s="64"/>
      <c r="D435" s="5"/>
      <c r="E435" s="5"/>
      <c r="F435" s="6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63"/>
      <c r="C436" s="64"/>
      <c r="D436" s="5"/>
      <c r="E436" s="5"/>
      <c r="F436" s="6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63"/>
      <c r="C437" s="64"/>
      <c r="D437" s="5"/>
      <c r="E437" s="5"/>
      <c r="F437" s="6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63"/>
      <c r="C438" s="64"/>
      <c r="D438" s="5"/>
      <c r="E438" s="5"/>
      <c r="F438" s="6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63"/>
      <c r="C439" s="64"/>
      <c r="D439" s="5"/>
      <c r="E439" s="5"/>
      <c r="F439" s="6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63"/>
      <c r="C440" s="64"/>
      <c r="D440" s="5"/>
      <c r="E440" s="5"/>
      <c r="F440" s="6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63"/>
      <c r="C441" s="64"/>
      <c r="D441" s="5"/>
      <c r="E441" s="5"/>
      <c r="F441" s="6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63"/>
      <c r="C442" s="64"/>
      <c r="D442" s="5"/>
      <c r="E442" s="5"/>
      <c r="F442" s="6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63"/>
      <c r="C443" s="64"/>
      <c r="D443" s="5"/>
      <c r="E443" s="5"/>
      <c r="F443" s="6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63"/>
      <c r="C444" s="64"/>
      <c r="D444" s="5"/>
      <c r="E444" s="5"/>
      <c r="F444" s="6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63"/>
      <c r="C445" s="64"/>
      <c r="D445" s="5"/>
      <c r="E445" s="5"/>
      <c r="F445" s="6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63"/>
      <c r="C446" s="64"/>
      <c r="D446" s="5"/>
      <c r="E446" s="5"/>
      <c r="F446" s="6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63"/>
      <c r="C447" s="64"/>
      <c r="D447" s="5"/>
      <c r="E447" s="5"/>
      <c r="F447" s="6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63"/>
      <c r="C448" s="64"/>
      <c r="D448" s="5"/>
      <c r="E448" s="5"/>
      <c r="F448" s="6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63"/>
      <c r="C449" s="64"/>
      <c r="D449" s="5"/>
      <c r="E449" s="5"/>
      <c r="F449" s="6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63"/>
      <c r="C450" s="64"/>
      <c r="D450" s="5"/>
      <c r="E450" s="5"/>
      <c r="F450" s="6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63"/>
      <c r="C451" s="64"/>
      <c r="D451" s="5"/>
      <c r="E451" s="5"/>
      <c r="F451" s="6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63"/>
      <c r="C452" s="64"/>
      <c r="D452" s="5"/>
      <c r="E452" s="5"/>
      <c r="F452" s="6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63"/>
      <c r="C453" s="64"/>
      <c r="D453" s="5"/>
      <c r="E453" s="5"/>
      <c r="F453" s="6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63"/>
      <c r="C454" s="64"/>
      <c r="D454" s="5"/>
      <c r="E454" s="5"/>
      <c r="F454" s="6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63"/>
      <c r="C455" s="64"/>
      <c r="D455" s="5"/>
      <c r="E455" s="5"/>
      <c r="F455" s="6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63"/>
      <c r="C456" s="64"/>
      <c r="D456" s="5"/>
      <c r="E456" s="5"/>
      <c r="F456" s="6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63"/>
      <c r="C457" s="64"/>
      <c r="D457" s="5"/>
      <c r="E457" s="5"/>
      <c r="F457" s="6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63"/>
      <c r="C458" s="64"/>
      <c r="D458" s="5"/>
      <c r="E458" s="5"/>
      <c r="F458" s="6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63"/>
      <c r="C459" s="64"/>
      <c r="D459" s="5"/>
      <c r="E459" s="5"/>
      <c r="F459" s="6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63"/>
      <c r="C460" s="64"/>
      <c r="D460" s="5"/>
      <c r="E460" s="5"/>
      <c r="F460" s="6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63"/>
      <c r="C461" s="64"/>
      <c r="D461" s="5"/>
      <c r="E461" s="5"/>
      <c r="F461" s="6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63"/>
      <c r="C462" s="64"/>
      <c r="D462" s="5"/>
      <c r="E462" s="5"/>
      <c r="F462" s="6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63"/>
      <c r="C463" s="64"/>
      <c r="D463" s="5"/>
      <c r="E463" s="5"/>
      <c r="F463" s="6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63"/>
      <c r="C464" s="64"/>
      <c r="D464" s="5"/>
      <c r="E464" s="5"/>
      <c r="F464" s="6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63"/>
      <c r="C465" s="64"/>
      <c r="D465" s="5"/>
      <c r="E465" s="5"/>
      <c r="F465" s="6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63"/>
      <c r="C466" s="64"/>
      <c r="D466" s="5"/>
      <c r="E466" s="5"/>
      <c r="F466" s="6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63"/>
      <c r="C467" s="64"/>
      <c r="D467" s="5"/>
      <c r="E467" s="5"/>
      <c r="F467" s="6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63"/>
      <c r="C468" s="64"/>
      <c r="D468" s="5"/>
      <c r="E468" s="5"/>
      <c r="F468" s="6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63"/>
      <c r="C469" s="64"/>
      <c r="D469" s="5"/>
      <c r="E469" s="5"/>
      <c r="F469" s="6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63"/>
      <c r="C470" s="64"/>
      <c r="D470" s="5"/>
      <c r="E470" s="5"/>
      <c r="F470" s="6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63"/>
      <c r="C471" s="64"/>
      <c r="D471" s="5"/>
      <c r="E471" s="5"/>
      <c r="F471" s="6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63"/>
      <c r="C472" s="64"/>
      <c r="D472" s="5"/>
      <c r="E472" s="5"/>
      <c r="F472" s="6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63"/>
      <c r="C473" s="64"/>
      <c r="D473" s="5"/>
      <c r="E473" s="5"/>
      <c r="F473" s="6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63"/>
      <c r="C474" s="64"/>
      <c r="D474" s="5"/>
      <c r="E474" s="5"/>
      <c r="F474" s="6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63"/>
      <c r="C475" s="64"/>
      <c r="D475" s="5"/>
      <c r="E475" s="5"/>
      <c r="F475" s="6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63"/>
      <c r="C476" s="64"/>
      <c r="D476" s="5"/>
      <c r="E476" s="5"/>
      <c r="F476" s="6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63"/>
      <c r="C477" s="64"/>
      <c r="D477" s="5"/>
      <c r="E477" s="5"/>
      <c r="F477" s="6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63"/>
      <c r="C478" s="64"/>
      <c r="D478" s="5"/>
      <c r="E478" s="5"/>
      <c r="F478" s="6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63"/>
      <c r="C479" s="64"/>
      <c r="D479" s="5"/>
      <c r="E479" s="5"/>
      <c r="F479" s="6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63"/>
      <c r="C480" s="64"/>
      <c r="D480" s="5"/>
      <c r="E480" s="5"/>
      <c r="F480" s="6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63"/>
      <c r="C481" s="64"/>
      <c r="D481" s="5"/>
      <c r="E481" s="5"/>
      <c r="F481" s="6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63"/>
      <c r="C482" s="64"/>
      <c r="D482" s="5"/>
      <c r="E482" s="5"/>
      <c r="F482" s="6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63"/>
      <c r="C483" s="64"/>
      <c r="D483" s="5"/>
      <c r="E483" s="5"/>
      <c r="F483" s="6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63"/>
      <c r="C484" s="64"/>
      <c r="D484" s="5"/>
      <c r="E484" s="5"/>
      <c r="F484" s="6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63"/>
      <c r="C485" s="64"/>
      <c r="D485" s="5"/>
      <c r="E485" s="5"/>
      <c r="F485" s="6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63"/>
      <c r="C486" s="64"/>
      <c r="D486" s="5"/>
      <c r="E486" s="5"/>
      <c r="F486" s="6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63"/>
      <c r="C487" s="64"/>
      <c r="D487" s="5"/>
      <c r="E487" s="5"/>
      <c r="F487" s="6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63"/>
      <c r="C488" s="64"/>
      <c r="D488" s="5"/>
      <c r="E488" s="5"/>
      <c r="F488" s="6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63"/>
      <c r="C489" s="64"/>
      <c r="D489" s="5"/>
      <c r="E489" s="5"/>
      <c r="F489" s="6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63"/>
      <c r="C490" s="64"/>
      <c r="D490" s="5"/>
      <c r="E490" s="5"/>
      <c r="F490" s="6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63"/>
      <c r="C491" s="64"/>
      <c r="D491" s="5"/>
      <c r="E491" s="5"/>
      <c r="F491" s="6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63"/>
      <c r="C492" s="64"/>
      <c r="D492" s="5"/>
      <c r="E492" s="5"/>
      <c r="F492" s="6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63"/>
      <c r="C493" s="64"/>
      <c r="D493" s="5"/>
      <c r="E493" s="5"/>
      <c r="F493" s="6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63"/>
      <c r="C494" s="64"/>
      <c r="D494" s="5"/>
      <c r="E494" s="5"/>
      <c r="F494" s="6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63"/>
      <c r="C495" s="64"/>
      <c r="D495" s="5"/>
      <c r="E495" s="5"/>
      <c r="F495" s="6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63"/>
      <c r="C496" s="64"/>
      <c r="D496" s="5"/>
      <c r="E496" s="5"/>
      <c r="F496" s="6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63"/>
      <c r="C497" s="64"/>
      <c r="D497" s="5"/>
      <c r="E497" s="5"/>
      <c r="F497" s="6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63"/>
      <c r="C498" s="64"/>
      <c r="D498" s="5"/>
      <c r="E498" s="5"/>
      <c r="F498" s="6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63"/>
      <c r="C499" s="64"/>
      <c r="D499" s="5"/>
      <c r="E499" s="5"/>
      <c r="F499" s="6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63"/>
      <c r="C500" s="64"/>
      <c r="D500" s="5"/>
      <c r="E500" s="5"/>
      <c r="F500" s="6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63"/>
      <c r="C501" s="64"/>
      <c r="D501" s="5"/>
      <c r="E501" s="5"/>
      <c r="F501" s="6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63"/>
      <c r="C502" s="64"/>
      <c r="D502" s="5"/>
      <c r="E502" s="5"/>
      <c r="F502" s="6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63"/>
      <c r="C503" s="64"/>
      <c r="D503" s="5"/>
      <c r="E503" s="5"/>
      <c r="F503" s="6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63"/>
      <c r="C504" s="64"/>
      <c r="D504" s="5"/>
      <c r="E504" s="5"/>
      <c r="F504" s="6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63"/>
      <c r="C505" s="64"/>
      <c r="D505" s="5"/>
      <c r="E505" s="5"/>
      <c r="F505" s="6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63"/>
      <c r="C506" s="64"/>
      <c r="D506" s="5"/>
      <c r="E506" s="5"/>
      <c r="F506" s="6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63"/>
      <c r="C507" s="64"/>
      <c r="D507" s="5"/>
      <c r="E507" s="5"/>
      <c r="F507" s="6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63"/>
      <c r="C508" s="64"/>
      <c r="D508" s="5"/>
      <c r="E508" s="5"/>
      <c r="F508" s="6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63"/>
      <c r="C509" s="64"/>
      <c r="D509" s="5"/>
      <c r="E509" s="5"/>
      <c r="F509" s="6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63"/>
      <c r="C510" s="64"/>
      <c r="D510" s="5"/>
      <c r="E510" s="5"/>
      <c r="F510" s="6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63"/>
      <c r="C511" s="64"/>
      <c r="D511" s="5"/>
      <c r="E511" s="5"/>
      <c r="F511" s="6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63"/>
      <c r="C512" s="64"/>
      <c r="D512" s="5"/>
      <c r="E512" s="5"/>
      <c r="F512" s="6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63"/>
      <c r="C513" s="64"/>
      <c r="D513" s="5"/>
      <c r="E513" s="5"/>
      <c r="F513" s="6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63"/>
      <c r="C514" s="64"/>
      <c r="D514" s="5"/>
      <c r="E514" s="5"/>
      <c r="F514" s="6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63"/>
      <c r="C515" s="64"/>
      <c r="D515" s="5"/>
      <c r="E515" s="5"/>
      <c r="F515" s="6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63"/>
      <c r="C516" s="64"/>
      <c r="D516" s="5"/>
      <c r="E516" s="5"/>
      <c r="F516" s="6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63"/>
      <c r="C517" s="64"/>
      <c r="D517" s="5"/>
      <c r="E517" s="5"/>
      <c r="F517" s="6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63"/>
      <c r="C518" s="64"/>
      <c r="D518" s="5"/>
      <c r="E518" s="5"/>
      <c r="F518" s="6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63"/>
      <c r="C519" s="64"/>
      <c r="D519" s="5"/>
      <c r="E519" s="5"/>
      <c r="F519" s="6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63"/>
      <c r="C520" s="64"/>
      <c r="D520" s="5"/>
      <c r="E520" s="5"/>
      <c r="F520" s="6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63"/>
      <c r="C521" s="64"/>
      <c r="D521" s="5"/>
      <c r="E521" s="5"/>
      <c r="F521" s="6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63"/>
      <c r="C522" s="64"/>
      <c r="D522" s="5"/>
      <c r="E522" s="5"/>
      <c r="F522" s="6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63"/>
      <c r="C523" s="64"/>
      <c r="D523" s="5"/>
      <c r="E523" s="5"/>
      <c r="F523" s="6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63"/>
      <c r="C524" s="64"/>
      <c r="D524" s="5"/>
      <c r="E524" s="5"/>
      <c r="F524" s="6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63"/>
      <c r="C525" s="64"/>
      <c r="D525" s="5"/>
      <c r="E525" s="5"/>
      <c r="F525" s="6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63"/>
      <c r="C526" s="64"/>
      <c r="D526" s="5"/>
      <c r="E526" s="5"/>
      <c r="F526" s="6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63"/>
      <c r="C527" s="64"/>
      <c r="D527" s="5"/>
      <c r="E527" s="5"/>
      <c r="F527" s="6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63"/>
      <c r="C528" s="64"/>
      <c r="D528" s="5"/>
      <c r="E528" s="5"/>
      <c r="F528" s="6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63"/>
      <c r="C529" s="64"/>
      <c r="D529" s="5"/>
      <c r="E529" s="5"/>
      <c r="F529" s="6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63"/>
      <c r="C530" s="64"/>
      <c r="D530" s="5"/>
      <c r="E530" s="5"/>
      <c r="F530" s="6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63"/>
      <c r="C531" s="64"/>
      <c r="D531" s="5"/>
      <c r="E531" s="5"/>
      <c r="F531" s="6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63"/>
      <c r="C532" s="64"/>
      <c r="D532" s="5"/>
      <c r="E532" s="5"/>
      <c r="F532" s="6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63"/>
      <c r="C533" s="64"/>
      <c r="D533" s="5"/>
      <c r="E533" s="5"/>
      <c r="F533" s="6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63"/>
      <c r="C534" s="64"/>
      <c r="D534" s="5"/>
      <c r="E534" s="5"/>
      <c r="F534" s="6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63"/>
      <c r="C535" s="64"/>
      <c r="D535" s="5"/>
      <c r="E535" s="5"/>
      <c r="F535" s="6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63"/>
      <c r="C536" s="64"/>
      <c r="D536" s="5"/>
      <c r="E536" s="5"/>
      <c r="F536" s="6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63"/>
      <c r="C537" s="64"/>
      <c r="D537" s="5"/>
      <c r="E537" s="5"/>
      <c r="F537" s="6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63"/>
      <c r="C538" s="64"/>
      <c r="D538" s="5"/>
      <c r="E538" s="5"/>
      <c r="F538" s="6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63"/>
      <c r="C539" s="64"/>
      <c r="D539" s="5"/>
      <c r="E539" s="5"/>
      <c r="F539" s="6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63"/>
      <c r="C540" s="64"/>
      <c r="D540" s="5"/>
      <c r="E540" s="5"/>
      <c r="F540" s="6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63"/>
      <c r="C541" s="64"/>
      <c r="D541" s="5"/>
      <c r="E541" s="5"/>
      <c r="F541" s="6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63"/>
      <c r="C542" s="64"/>
      <c r="D542" s="5"/>
      <c r="E542" s="5"/>
      <c r="F542" s="6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63"/>
      <c r="C543" s="64"/>
      <c r="D543" s="5"/>
      <c r="E543" s="5"/>
      <c r="F543" s="6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63"/>
      <c r="C544" s="64"/>
      <c r="D544" s="5"/>
      <c r="E544" s="5"/>
      <c r="F544" s="6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63"/>
      <c r="C545" s="64"/>
      <c r="D545" s="5"/>
      <c r="E545" s="5"/>
      <c r="F545" s="6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63"/>
      <c r="C546" s="64"/>
      <c r="D546" s="5"/>
      <c r="E546" s="5"/>
      <c r="F546" s="6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63"/>
      <c r="C547" s="64"/>
      <c r="D547" s="5"/>
      <c r="E547" s="5"/>
      <c r="F547" s="6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63"/>
      <c r="C548" s="64"/>
      <c r="D548" s="5"/>
      <c r="E548" s="5"/>
      <c r="F548" s="6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63"/>
      <c r="C549" s="64"/>
      <c r="D549" s="5"/>
      <c r="E549" s="5"/>
      <c r="F549" s="6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63"/>
      <c r="C550" s="64"/>
      <c r="D550" s="5"/>
      <c r="E550" s="5"/>
      <c r="F550" s="6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63"/>
      <c r="C551" s="64"/>
      <c r="D551" s="5"/>
      <c r="E551" s="5"/>
      <c r="F551" s="6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63"/>
      <c r="C552" s="64"/>
      <c r="D552" s="5"/>
      <c r="E552" s="5"/>
      <c r="F552" s="6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63"/>
      <c r="C553" s="64"/>
      <c r="D553" s="5"/>
      <c r="E553" s="5"/>
      <c r="F553" s="6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63"/>
      <c r="C554" s="64"/>
      <c r="D554" s="5"/>
      <c r="E554" s="5"/>
      <c r="F554" s="6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63"/>
      <c r="C555" s="64"/>
      <c r="D555" s="5"/>
      <c r="E555" s="5"/>
      <c r="F555" s="6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63"/>
      <c r="C556" s="64"/>
      <c r="D556" s="5"/>
      <c r="E556" s="5"/>
      <c r="F556" s="6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63"/>
      <c r="C557" s="64"/>
      <c r="D557" s="5"/>
      <c r="E557" s="5"/>
      <c r="F557" s="6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63"/>
      <c r="C558" s="64"/>
      <c r="D558" s="5"/>
      <c r="E558" s="5"/>
      <c r="F558" s="6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63"/>
      <c r="C559" s="64"/>
      <c r="D559" s="5"/>
      <c r="E559" s="5"/>
      <c r="F559" s="6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63"/>
      <c r="C560" s="64"/>
      <c r="D560" s="5"/>
      <c r="E560" s="5"/>
      <c r="F560" s="6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63"/>
      <c r="C561" s="64"/>
      <c r="D561" s="5"/>
      <c r="E561" s="5"/>
      <c r="F561" s="6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63"/>
      <c r="C562" s="64"/>
      <c r="D562" s="5"/>
      <c r="E562" s="5"/>
      <c r="F562" s="6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63"/>
      <c r="C563" s="64"/>
      <c r="D563" s="5"/>
      <c r="E563" s="5"/>
      <c r="F563" s="6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63"/>
      <c r="C564" s="64"/>
      <c r="D564" s="5"/>
      <c r="E564" s="5"/>
      <c r="F564" s="6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63"/>
      <c r="C565" s="64"/>
      <c r="D565" s="5"/>
      <c r="E565" s="5"/>
      <c r="F565" s="6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63"/>
      <c r="C566" s="64"/>
      <c r="D566" s="5"/>
      <c r="E566" s="5"/>
      <c r="F566" s="6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63"/>
      <c r="C567" s="64"/>
      <c r="D567" s="5"/>
      <c r="E567" s="5"/>
      <c r="F567" s="6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63"/>
      <c r="C568" s="64"/>
      <c r="D568" s="5"/>
      <c r="E568" s="5"/>
      <c r="F568" s="6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63"/>
      <c r="C569" s="64"/>
      <c r="D569" s="5"/>
      <c r="E569" s="5"/>
      <c r="F569" s="6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63"/>
      <c r="C570" s="64"/>
      <c r="D570" s="5"/>
      <c r="E570" s="5"/>
      <c r="F570" s="6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63"/>
      <c r="C571" s="64"/>
      <c r="D571" s="5"/>
      <c r="E571" s="5"/>
      <c r="F571" s="6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63"/>
      <c r="C572" s="64"/>
      <c r="D572" s="5"/>
      <c r="E572" s="5"/>
      <c r="F572" s="6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63"/>
      <c r="C573" s="64"/>
      <c r="D573" s="5"/>
      <c r="E573" s="5"/>
      <c r="F573" s="6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63"/>
      <c r="C574" s="64"/>
      <c r="D574" s="5"/>
      <c r="E574" s="5"/>
      <c r="F574" s="6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63"/>
      <c r="C575" s="64"/>
      <c r="D575" s="5"/>
      <c r="E575" s="5"/>
      <c r="F575" s="6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63"/>
      <c r="C576" s="64"/>
      <c r="D576" s="5"/>
      <c r="E576" s="5"/>
      <c r="F576" s="6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63"/>
      <c r="C577" s="64"/>
      <c r="D577" s="5"/>
      <c r="E577" s="5"/>
      <c r="F577" s="6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63"/>
      <c r="C578" s="64"/>
      <c r="D578" s="5"/>
      <c r="E578" s="5"/>
      <c r="F578" s="6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63"/>
      <c r="C579" s="64"/>
      <c r="D579" s="5"/>
      <c r="E579" s="5"/>
      <c r="F579" s="6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63"/>
      <c r="C580" s="64"/>
      <c r="D580" s="5"/>
      <c r="E580" s="5"/>
      <c r="F580" s="6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63"/>
      <c r="C581" s="64"/>
      <c r="D581" s="5"/>
      <c r="E581" s="5"/>
      <c r="F581" s="6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63"/>
      <c r="C582" s="64"/>
      <c r="D582" s="5"/>
      <c r="E582" s="5"/>
      <c r="F582" s="6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63"/>
      <c r="C583" s="64"/>
      <c r="D583" s="5"/>
      <c r="E583" s="5"/>
      <c r="F583" s="6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63"/>
      <c r="C584" s="64"/>
      <c r="D584" s="5"/>
      <c r="E584" s="5"/>
      <c r="F584" s="6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63"/>
      <c r="C585" s="64"/>
      <c r="D585" s="5"/>
      <c r="E585" s="5"/>
      <c r="F585" s="6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63"/>
      <c r="C586" s="64"/>
      <c r="D586" s="5"/>
      <c r="E586" s="5"/>
      <c r="F586" s="6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63"/>
      <c r="C587" s="64"/>
      <c r="D587" s="5"/>
      <c r="E587" s="5"/>
      <c r="F587" s="6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63"/>
      <c r="C588" s="64"/>
      <c r="D588" s="5"/>
      <c r="E588" s="5"/>
      <c r="F588" s="6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63"/>
      <c r="C589" s="64"/>
      <c r="D589" s="5"/>
      <c r="E589" s="5"/>
      <c r="F589" s="6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63"/>
      <c r="C590" s="64"/>
      <c r="D590" s="5"/>
      <c r="E590" s="5"/>
      <c r="F590" s="6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63"/>
      <c r="C591" s="64"/>
      <c r="D591" s="5"/>
      <c r="E591" s="5"/>
      <c r="F591" s="6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63"/>
      <c r="C592" s="64"/>
      <c r="D592" s="5"/>
      <c r="E592" s="5"/>
      <c r="F592" s="6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63"/>
      <c r="C593" s="64"/>
      <c r="D593" s="5"/>
      <c r="E593" s="5"/>
      <c r="F593" s="6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63"/>
      <c r="C594" s="64"/>
      <c r="D594" s="5"/>
      <c r="E594" s="5"/>
      <c r="F594" s="6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63"/>
      <c r="C595" s="64"/>
      <c r="D595" s="5"/>
      <c r="E595" s="5"/>
      <c r="F595" s="6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63"/>
      <c r="C596" s="64"/>
      <c r="D596" s="5"/>
      <c r="E596" s="5"/>
      <c r="F596" s="6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63"/>
      <c r="C597" s="64"/>
      <c r="D597" s="5"/>
      <c r="E597" s="5"/>
      <c r="F597" s="6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63"/>
      <c r="C598" s="64"/>
      <c r="D598" s="5"/>
      <c r="E598" s="5"/>
      <c r="F598" s="6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63"/>
      <c r="C599" s="64"/>
      <c r="D599" s="5"/>
      <c r="E599" s="5"/>
      <c r="F599" s="6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63"/>
      <c r="C600" s="64"/>
      <c r="D600" s="5"/>
      <c r="E600" s="5"/>
      <c r="F600" s="6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63"/>
      <c r="C601" s="64"/>
      <c r="D601" s="5"/>
      <c r="E601" s="5"/>
      <c r="F601" s="6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63"/>
      <c r="C602" s="64"/>
      <c r="D602" s="5"/>
      <c r="E602" s="5"/>
      <c r="F602" s="6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63"/>
      <c r="C603" s="64"/>
      <c r="D603" s="5"/>
      <c r="E603" s="5"/>
      <c r="F603" s="6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63"/>
      <c r="C604" s="64"/>
      <c r="D604" s="5"/>
      <c r="E604" s="5"/>
      <c r="F604" s="6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63"/>
      <c r="C605" s="64"/>
      <c r="D605" s="5"/>
      <c r="E605" s="5"/>
      <c r="F605" s="6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63"/>
      <c r="C606" s="64"/>
      <c r="D606" s="5"/>
      <c r="E606" s="5"/>
      <c r="F606" s="6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63"/>
      <c r="C607" s="64"/>
      <c r="D607" s="5"/>
      <c r="E607" s="5"/>
      <c r="F607" s="6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63"/>
      <c r="C608" s="64"/>
      <c r="D608" s="5"/>
      <c r="E608" s="5"/>
      <c r="F608" s="6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63"/>
      <c r="C609" s="64"/>
      <c r="D609" s="5"/>
      <c r="E609" s="5"/>
      <c r="F609" s="6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63"/>
      <c r="C610" s="64"/>
      <c r="D610" s="5"/>
      <c r="E610" s="5"/>
      <c r="F610" s="6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63"/>
      <c r="C611" s="64"/>
      <c r="D611" s="5"/>
      <c r="E611" s="5"/>
      <c r="F611" s="6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63"/>
      <c r="C612" s="64"/>
      <c r="D612" s="5"/>
      <c r="E612" s="5"/>
      <c r="F612" s="6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63"/>
      <c r="C613" s="64"/>
      <c r="D613" s="5"/>
      <c r="E613" s="5"/>
      <c r="F613" s="6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63"/>
      <c r="C614" s="64"/>
      <c r="D614" s="5"/>
      <c r="E614" s="5"/>
      <c r="F614" s="6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63"/>
      <c r="C615" s="64"/>
      <c r="D615" s="5"/>
      <c r="E615" s="5"/>
      <c r="F615" s="6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63"/>
      <c r="C616" s="64"/>
      <c r="D616" s="5"/>
      <c r="E616" s="5"/>
      <c r="F616" s="6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63"/>
      <c r="C617" s="64"/>
      <c r="D617" s="5"/>
      <c r="E617" s="5"/>
      <c r="F617" s="6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63"/>
      <c r="C618" s="64"/>
      <c r="D618" s="5"/>
      <c r="E618" s="5"/>
      <c r="F618" s="6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63"/>
      <c r="C619" s="64"/>
      <c r="D619" s="5"/>
      <c r="E619" s="5"/>
      <c r="F619" s="6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63"/>
      <c r="C620" s="64"/>
      <c r="D620" s="5"/>
      <c r="E620" s="5"/>
      <c r="F620" s="6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63"/>
      <c r="C621" s="64"/>
      <c r="D621" s="5"/>
      <c r="E621" s="5"/>
      <c r="F621" s="6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63"/>
      <c r="C622" s="64"/>
      <c r="D622" s="5"/>
      <c r="E622" s="5"/>
      <c r="F622" s="6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63"/>
      <c r="C623" s="64"/>
      <c r="D623" s="5"/>
      <c r="E623" s="5"/>
      <c r="F623" s="6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63"/>
      <c r="C624" s="64"/>
      <c r="D624" s="5"/>
      <c r="E624" s="5"/>
      <c r="F624" s="6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63"/>
      <c r="C625" s="64"/>
      <c r="D625" s="5"/>
      <c r="E625" s="5"/>
      <c r="F625" s="6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63"/>
      <c r="C626" s="64"/>
      <c r="D626" s="5"/>
      <c r="E626" s="5"/>
      <c r="F626" s="6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63"/>
      <c r="C627" s="64"/>
      <c r="D627" s="5"/>
      <c r="E627" s="5"/>
      <c r="F627" s="6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63"/>
      <c r="C628" s="64"/>
      <c r="D628" s="5"/>
      <c r="E628" s="5"/>
      <c r="F628" s="6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63"/>
      <c r="C629" s="64"/>
      <c r="D629" s="5"/>
      <c r="E629" s="5"/>
      <c r="F629" s="6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63"/>
      <c r="C630" s="64"/>
      <c r="D630" s="5"/>
      <c r="E630" s="5"/>
      <c r="F630" s="6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63"/>
      <c r="C631" s="64"/>
      <c r="D631" s="5"/>
      <c r="E631" s="5"/>
      <c r="F631" s="6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63"/>
      <c r="C632" s="64"/>
      <c r="D632" s="5"/>
      <c r="E632" s="5"/>
      <c r="F632" s="6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63"/>
      <c r="C633" s="64"/>
      <c r="D633" s="5"/>
      <c r="E633" s="5"/>
      <c r="F633" s="6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63"/>
      <c r="C634" s="64"/>
      <c r="D634" s="5"/>
      <c r="E634" s="5"/>
      <c r="F634" s="6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63"/>
      <c r="C635" s="64"/>
      <c r="D635" s="5"/>
      <c r="E635" s="5"/>
      <c r="F635" s="6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63"/>
      <c r="C636" s="64"/>
      <c r="D636" s="5"/>
      <c r="E636" s="5"/>
      <c r="F636" s="6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63"/>
      <c r="C637" s="64"/>
      <c r="D637" s="5"/>
      <c r="E637" s="5"/>
      <c r="F637" s="6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63"/>
      <c r="C638" s="64"/>
      <c r="D638" s="5"/>
      <c r="E638" s="5"/>
      <c r="F638" s="6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63"/>
      <c r="C639" s="64"/>
      <c r="D639" s="5"/>
      <c r="E639" s="5"/>
      <c r="F639" s="6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63"/>
      <c r="C640" s="64"/>
      <c r="D640" s="5"/>
      <c r="E640" s="5"/>
      <c r="F640" s="6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63"/>
      <c r="C641" s="64"/>
      <c r="D641" s="5"/>
      <c r="E641" s="5"/>
      <c r="F641" s="6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63"/>
      <c r="C642" s="64"/>
      <c r="D642" s="5"/>
      <c r="E642" s="5"/>
      <c r="F642" s="6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63"/>
      <c r="C643" s="64"/>
      <c r="D643" s="5"/>
      <c r="E643" s="5"/>
      <c r="F643" s="6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63"/>
      <c r="C644" s="64"/>
      <c r="D644" s="5"/>
      <c r="E644" s="5"/>
      <c r="F644" s="6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63"/>
      <c r="C645" s="64"/>
      <c r="D645" s="5"/>
      <c r="E645" s="5"/>
      <c r="F645" s="6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63"/>
      <c r="C646" s="64"/>
      <c r="D646" s="5"/>
      <c r="E646" s="5"/>
      <c r="F646" s="6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63"/>
      <c r="C647" s="64"/>
      <c r="D647" s="5"/>
      <c r="E647" s="5"/>
      <c r="F647" s="6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63"/>
      <c r="C648" s="64"/>
      <c r="D648" s="5"/>
      <c r="E648" s="5"/>
      <c r="F648" s="6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63"/>
      <c r="C649" s="64"/>
      <c r="D649" s="5"/>
      <c r="E649" s="5"/>
      <c r="F649" s="6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63"/>
      <c r="C650" s="64"/>
      <c r="D650" s="5"/>
      <c r="E650" s="5"/>
      <c r="F650" s="6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63"/>
      <c r="C651" s="64"/>
      <c r="D651" s="5"/>
      <c r="E651" s="5"/>
      <c r="F651" s="6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63"/>
      <c r="C652" s="64"/>
      <c r="D652" s="5"/>
      <c r="E652" s="5"/>
      <c r="F652" s="6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63"/>
      <c r="C653" s="64"/>
      <c r="D653" s="5"/>
      <c r="E653" s="5"/>
      <c r="F653" s="6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63"/>
      <c r="C654" s="64"/>
      <c r="D654" s="5"/>
      <c r="E654" s="5"/>
      <c r="F654" s="6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63"/>
      <c r="C655" s="64"/>
      <c r="D655" s="5"/>
      <c r="E655" s="5"/>
      <c r="F655" s="6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63"/>
      <c r="C656" s="64"/>
      <c r="D656" s="5"/>
      <c r="E656" s="5"/>
      <c r="F656" s="6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63"/>
      <c r="C657" s="64"/>
      <c r="D657" s="5"/>
      <c r="E657" s="5"/>
      <c r="F657" s="6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63"/>
      <c r="C658" s="64"/>
      <c r="D658" s="5"/>
      <c r="E658" s="5"/>
      <c r="F658" s="6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63"/>
      <c r="C659" s="64"/>
      <c r="D659" s="5"/>
      <c r="E659" s="5"/>
      <c r="F659" s="6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63"/>
      <c r="C660" s="64"/>
      <c r="D660" s="5"/>
      <c r="E660" s="5"/>
      <c r="F660" s="6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63"/>
      <c r="C661" s="64"/>
      <c r="D661" s="5"/>
      <c r="E661" s="5"/>
      <c r="F661" s="6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63"/>
      <c r="C662" s="64"/>
      <c r="D662" s="5"/>
      <c r="E662" s="5"/>
      <c r="F662" s="6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63"/>
      <c r="C663" s="64"/>
      <c r="D663" s="5"/>
      <c r="E663" s="5"/>
      <c r="F663" s="6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63"/>
      <c r="C664" s="64"/>
      <c r="D664" s="5"/>
      <c r="E664" s="5"/>
      <c r="F664" s="6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63"/>
      <c r="C665" s="64"/>
      <c r="D665" s="5"/>
      <c r="E665" s="5"/>
      <c r="F665" s="6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63"/>
      <c r="C666" s="64"/>
      <c r="D666" s="5"/>
      <c r="E666" s="5"/>
      <c r="F666" s="6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63"/>
      <c r="C667" s="64"/>
      <c r="D667" s="5"/>
      <c r="E667" s="5"/>
      <c r="F667" s="6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63"/>
      <c r="C668" s="64"/>
      <c r="D668" s="5"/>
      <c r="E668" s="5"/>
      <c r="F668" s="6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63"/>
      <c r="C669" s="64"/>
      <c r="D669" s="5"/>
      <c r="E669" s="5"/>
      <c r="F669" s="6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63"/>
      <c r="C670" s="64"/>
      <c r="D670" s="5"/>
      <c r="E670" s="5"/>
      <c r="F670" s="6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63"/>
      <c r="C671" s="64"/>
      <c r="D671" s="5"/>
      <c r="E671" s="5"/>
      <c r="F671" s="6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63"/>
      <c r="C672" s="64"/>
      <c r="D672" s="5"/>
      <c r="E672" s="5"/>
      <c r="F672" s="6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63"/>
      <c r="C673" s="64"/>
      <c r="D673" s="5"/>
      <c r="E673" s="5"/>
      <c r="F673" s="6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63"/>
      <c r="C674" s="64"/>
      <c r="D674" s="5"/>
      <c r="E674" s="5"/>
      <c r="F674" s="6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63"/>
      <c r="C675" s="64"/>
      <c r="D675" s="5"/>
      <c r="E675" s="5"/>
      <c r="F675" s="6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63"/>
      <c r="C676" s="64"/>
      <c r="D676" s="5"/>
      <c r="E676" s="5"/>
      <c r="F676" s="6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63"/>
      <c r="C677" s="64"/>
      <c r="D677" s="5"/>
      <c r="E677" s="5"/>
      <c r="F677" s="6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63"/>
      <c r="C678" s="64"/>
      <c r="D678" s="5"/>
      <c r="E678" s="5"/>
      <c r="F678" s="6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63"/>
      <c r="C679" s="64"/>
      <c r="D679" s="5"/>
      <c r="E679" s="5"/>
      <c r="F679" s="6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63"/>
      <c r="C680" s="64"/>
      <c r="D680" s="5"/>
      <c r="E680" s="5"/>
      <c r="F680" s="6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63"/>
      <c r="C681" s="64"/>
      <c r="D681" s="5"/>
      <c r="E681" s="5"/>
      <c r="F681" s="6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63"/>
      <c r="C682" s="64"/>
      <c r="D682" s="5"/>
      <c r="E682" s="5"/>
      <c r="F682" s="6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63"/>
      <c r="C683" s="64"/>
      <c r="D683" s="5"/>
      <c r="E683" s="5"/>
      <c r="F683" s="6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63"/>
      <c r="C684" s="64"/>
      <c r="D684" s="5"/>
      <c r="E684" s="5"/>
      <c r="F684" s="6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63"/>
      <c r="C685" s="64"/>
      <c r="D685" s="5"/>
      <c r="E685" s="5"/>
      <c r="F685" s="6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63"/>
      <c r="C686" s="64"/>
      <c r="D686" s="5"/>
      <c r="E686" s="5"/>
      <c r="F686" s="6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63"/>
      <c r="C687" s="64"/>
      <c r="D687" s="5"/>
      <c r="E687" s="5"/>
      <c r="F687" s="6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63"/>
      <c r="C688" s="64"/>
      <c r="D688" s="5"/>
      <c r="E688" s="5"/>
      <c r="F688" s="6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63"/>
      <c r="C689" s="64"/>
      <c r="D689" s="5"/>
      <c r="E689" s="5"/>
      <c r="F689" s="6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63"/>
      <c r="C690" s="64"/>
      <c r="D690" s="5"/>
      <c r="E690" s="5"/>
      <c r="F690" s="6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63"/>
      <c r="C691" s="64"/>
      <c r="D691" s="5"/>
      <c r="E691" s="5"/>
      <c r="F691" s="6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63"/>
      <c r="C692" s="64"/>
      <c r="D692" s="5"/>
      <c r="E692" s="5"/>
      <c r="F692" s="6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63"/>
      <c r="C693" s="64"/>
      <c r="D693" s="5"/>
      <c r="E693" s="5"/>
      <c r="F693" s="6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63"/>
      <c r="C694" s="64"/>
      <c r="D694" s="5"/>
      <c r="E694" s="5"/>
      <c r="F694" s="6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63"/>
      <c r="C695" s="64"/>
      <c r="D695" s="5"/>
      <c r="E695" s="5"/>
      <c r="F695" s="6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63"/>
      <c r="C696" s="64"/>
      <c r="D696" s="5"/>
      <c r="E696" s="5"/>
      <c r="F696" s="6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63"/>
      <c r="C697" s="64"/>
      <c r="D697" s="5"/>
      <c r="E697" s="5"/>
      <c r="F697" s="6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63"/>
      <c r="C698" s="64"/>
      <c r="D698" s="5"/>
      <c r="E698" s="5"/>
      <c r="F698" s="6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63"/>
      <c r="C699" s="64"/>
      <c r="D699" s="5"/>
      <c r="E699" s="5"/>
      <c r="F699" s="6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63"/>
      <c r="C700" s="64"/>
      <c r="D700" s="5"/>
      <c r="E700" s="5"/>
      <c r="F700" s="6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63"/>
      <c r="C701" s="64"/>
      <c r="D701" s="5"/>
      <c r="E701" s="5"/>
      <c r="F701" s="6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63"/>
      <c r="C702" s="64"/>
      <c r="D702" s="5"/>
      <c r="E702" s="5"/>
      <c r="F702" s="6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63"/>
      <c r="C703" s="64"/>
      <c r="D703" s="5"/>
      <c r="E703" s="5"/>
      <c r="F703" s="6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63"/>
      <c r="C704" s="64"/>
      <c r="D704" s="5"/>
      <c r="E704" s="5"/>
      <c r="F704" s="6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63"/>
      <c r="C705" s="64"/>
      <c r="D705" s="5"/>
      <c r="E705" s="5"/>
      <c r="F705" s="6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63"/>
      <c r="C706" s="64"/>
      <c r="D706" s="5"/>
      <c r="E706" s="5"/>
      <c r="F706" s="6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63"/>
      <c r="C707" s="64"/>
      <c r="D707" s="5"/>
      <c r="E707" s="5"/>
      <c r="F707" s="6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63"/>
      <c r="C708" s="64"/>
      <c r="D708" s="5"/>
      <c r="E708" s="5"/>
      <c r="F708" s="6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63"/>
      <c r="C709" s="64"/>
      <c r="D709" s="5"/>
      <c r="E709" s="5"/>
      <c r="F709" s="6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63"/>
      <c r="C710" s="64"/>
      <c r="D710" s="5"/>
      <c r="E710" s="5"/>
      <c r="F710" s="6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63"/>
      <c r="C711" s="64"/>
      <c r="D711" s="5"/>
      <c r="E711" s="5"/>
      <c r="F711" s="6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63"/>
      <c r="C712" s="64"/>
      <c r="D712" s="5"/>
      <c r="E712" s="5"/>
      <c r="F712" s="6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63"/>
      <c r="C713" s="64"/>
      <c r="D713" s="5"/>
      <c r="E713" s="5"/>
      <c r="F713" s="6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63"/>
      <c r="C714" s="64"/>
      <c r="D714" s="5"/>
      <c r="E714" s="5"/>
      <c r="F714" s="6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63"/>
      <c r="C715" s="64"/>
      <c r="D715" s="5"/>
      <c r="E715" s="5"/>
      <c r="F715" s="6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63"/>
      <c r="C716" s="64"/>
      <c r="D716" s="5"/>
      <c r="E716" s="5"/>
      <c r="F716" s="6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63"/>
      <c r="C717" s="64"/>
      <c r="D717" s="5"/>
      <c r="E717" s="5"/>
      <c r="F717" s="6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63"/>
      <c r="C718" s="64"/>
      <c r="D718" s="5"/>
      <c r="E718" s="5"/>
      <c r="F718" s="6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63"/>
      <c r="C719" s="64"/>
      <c r="D719" s="5"/>
      <c r="E719" s="5"/>
      <c r="F719" s="6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63"/>
      <c r="C720" s="64"/>
      <c r="D720" s="5"/>
      <c r="E720" s="5"/>
      <c r="F720" s="6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63"/>
      <c r="C721" s="64"/>
      <c r="D721" s="5"/>
      <c r="E721" s="5"/>
      <c r="F721" s="6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63"/>
      <c r="C722" s="64"/>
      <c r="D722" s="5"/>
      <c r="E722" s="5"/>
      <c r="F722" s="6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63"/>
      <c r="C723" s="64"/>
      <c r="D723" s="5"/>
      <c r="E723" s="5"/>
      <c r="F723" s="6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63"/>
      <c r="C724" s="64"/>
      <c r="D724" s="5"/>
      <c r="E724" s="5"/>
      <c r="F724" s="6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63"/>
      <c r="C725" s="64"/>
      <c r="D725" s="5"/>
      <c r="E725" s="5"/>
      <c r="F725" s="6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63"/>
      <c r="C726" s="64"/>
      <c r="D726" s="5"/>
      <c r="E726" s="5"/>
      <c r="F726" s="6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63"/>
      <c r="C727" s="64"/>
      <c r="D727" s="5"/>
      <c r="E727" s="5"/>
      <c r="F727" s="6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63"/>
      <c r="C728" s="64"/>
      <c r="D728" s="5"/>
      <c r="E728" s="5"/>
      <c r="F728" s="6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63"/>
      <c r="C729" s="64"/>
      <c r="D729" s="5"/>
      <c r="E729" s="5"/>
      <c r="F729" s="6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63"/>
      <c r="C730" s="64"/>
      <c r="D730" s="5"/>
      <c r="E730" s="5"/>
      <c r="F730" s="6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63"/>
      <c r="C731" s="64"/>
      <c r="D731" s="5"/>
      <c r="E731" s="5"/>
      <c r="F731" s="6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63"/>
      <c r="C732" s="64"/>
      <c r="D732" s="5"/>
      <c r="E732" s="5"/>
      <c r="F732" s="6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63"/>
      <c r="C733" s="64"/>
      <c r="D733" s="5"/>
      <c r="E733" s="5"/>
      <c r="F733" s="6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63"/>
      <c r="C734" s="64"/>
      <c r="D734" s="5"/>
      <c r="E734" s="5"/>
      <c r="F734" s="6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63"/>
      <c r="C735" s="64"/>
      <c r="D735" s="5"/>
      <c r="E735" s="5"/>
      <c r="F735" s="6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63"/>
      <c r="C736" s="64"/>
      <c r="D736" s="5"/>
      <c r="E736" s="5"/>
      <c r="F736" s="6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63"/>
      <c r="C737" s="64"/>
      <c r="D737" s="5"/>
      <c r="E737" s="5"/>
      <c r="F737" s="6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63"/>
      <c r="C738" s="64"/>
      <c r="D738" s="5"/>
      <c r="E738" s="5"/>
      <c r="F738" s="6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63"/>
      <c r="C739" s="64"/>
      <c r="D739" s="5"/>
      <c r="E739" s="5"/>
      <c r="F739" s="6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63"/>
      <c r="C740" s="64"/>
      <c r="D740" s="5"/>
      <c r="E740" s="5"/>
      <c r="F740" s="6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63"/>
      <c r="C741" s="64"/>
      <c r="D741" s="5"/>
      <c r="E741" s="5"/>
      <c r="F741" s="6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63"/>
      <c r="C742" s="64"/>
      <c r="D742" s="5"/>
      <c r="E742" s="5"/>
      <c r="F742" s="6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63"/>
      <c r="C743" s="64"/>
      <c r="D743" s="5"/>
      <c r="E743" s="5"/>
      <c r="F743" s="6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63"/>
      <c r="C744" s="64"/>
      <c r="D744" s="5"/>
      <c r="E744" s="5"/>
      <c r="F744" s="6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63"/>
      <c r="C745" s="64"/>
      <c r="D745" s="5"/>
      <c r="E745" s="5"/>
      <c r="F745" s="6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63"/>
      <c r="C746" s="64"/>
      <c r="D746" s="5"/>
      <c r="E746" s="5"/>
      <c r="F746" s="6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63"/>
      <c r="C747" s="64"/>
      <c r="D747" s="5"/>
      <c r="E747" s="5"/>
      <c r="F747" s="6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63"/>
      <c r="C748" s="64"/>
      <c r="D748" s="5"/>
      <c r="E748" s="5"/>
      <c r="F748" s="6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63"/>
      <c r="C749" s="64"/>
      <c r="D749" s="5"/>
      <c r="E749" s="5"/>
      <c r="F749" s="6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63"/>
      <c r="C750" s="64"/>
      <c r="D750" s="5"/>
      <c r="E750" s="5"/>
      <c r="F750" s="6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63"/>
      <c r="C751" s="64"/>
      <c r="D751" s="5"/>
      <c r="E751" s="5"/>
      <c r="F751" s="6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63"/>
      <c r="C752" s="64"/>
      <c r="D752" s="5"/>
      <c r="E752" s="5"/>
      <c r="F752" s="6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63"/>
      <c r="C753" s="64"/>
      <c r="D753" s="5"/>
      <c r="E753" s="5"/>
      <c r="F753" s="6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63"/>
      <c r="C754" s="64"/>
      <c r="D754" s="5"/>
      <c r="E754" s="5"/>
      <c r="F754" s="6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63"/>
      <c r="C755" s="64"/>
      <c r="D755" s="5"/>
      <c r="E755" s="5"/>
      <c r="F755" s="6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63"/>
      <c r="C756" s="64"/>
      <c r="D756" s="5"/>
      <c r="E756" s="5"/>
      <c r="F756" s="6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63"/>
      <c r="C757" s="64"/>
      <c r="D757" s="5"/>
      <c r="E757" s="5"/>
      <c r="F757" s="6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63"/>
      <c r="C758" s="64"/>
      <c r="D758" s="5"/>
      <c r="E758" s="5"/>
      <c r="F758" s="6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63"/>
      <c r="C759" s="64"/>
      <c r="D759" s="5"/>
      <c r="E759" s="5"/>
      <c r="F759" s="6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63"/>
      <c r="C760" s="64"/>
      <c r="D760" s="5"/>
      <c r="E760" s="5"/>
      <c r="F760" s="6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63"/>
      <c r="C761" s="64"/>
      <c r="D761" s="5"/>
      <c r="E761" s="5"/>
      <c r="F761" s="6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63"/>
      <c r="C762" s="64"/>
      <c r="D762" s="5"/>
      <c r="E762" s="5"/>
      <c r="F762" s="6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63"/>
      <c r="C763" s="64"/>
      <c r="D763" s="5"/>
      <c r="E763" s="5"/>
      <c r="F763" s="6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63"/>
      <c r="C764" s="64"/>
      <c r="D764" s="5"/>
      <c r="E764" s="5"/>
      <c r="F764" s="6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63"/>
      <c r="C765" s="64"/>
      <c r="D765" s="5"/>
      <c r="E765" s="5"/>
      <c r="F765" s="6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63"/>
      <c r="C766" s="64"/>
      <c r="D766" s="5"/>
      <c r="E766" s="5"/>
      <c r="F766" s="6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63"/>
      <c r="C767" s="64"/>
      <c r="D767" s="5"/>
      <c r="E767" s="5"/>
      <c r="F767" s="6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63"/>
      <c r="C768" s="64"/>
      <c r="D768" s="5"/>
      <c r="E768" s="5"/>
      <c r="F768" s="6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63"/>
      <c r="C769" s="64"/>
      <c r="D769" s="5"/>
      <c r="E769" s="5"/>
      <c r="F769" s="6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63"/>
      <c r="C770" s="64"/>
      <c r="D770" s="5"/>
      <c r="E770" s="5"/>
      <c r="F770" s="6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63"/>
      <c r="C771" s="64"/>
      <c r="D771" s="5"/>
      <c r="E771" s="5"/>
      <c r="F771" s="6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63"/>
      <c r="C772" s="64"/>
      <c r="D772" s="5"/>
      <c r="E772" s="5"/>
      <c r="F772" s="6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63"/>
      <c r="C773" s="64"/>
      <c r="D773" s="5"/>
      <c r="E773" s="5"/>
      <c r="F773" s="6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63"/>
      <c r="C774" s="64"/>
      <c r="D774" s="5"/>
      <c r="E774" s="5"/>
      <c r="F774" s="6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63"/>
      <c r="C775" s="64"/>
      <c r="D775" s="5"/>
      <c r="E775" s="5"/>
      <c r="F775" s="6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63"/>
      <c r="C776" s="64"/>
      <c r="D776" s="5"/>
      <c r="E776" s="5"/>
      <c r="F776" s="6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63"/>
      <c r="C777" s="64"/>
      <c r="D777" s="5"/>
      <c r="E777" s="5"/>
      <c r="F777" s="6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63"/>
      <c r="C778" s="64"/>
      <c r="D778" s="5"/>
      <c r="E778" s="5"/>
      <c r="F778" s="6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63"/>
      <c r="C779" s="64"/>
      <c r="D779" s="5"/>
      <c r="E779" s="5"/>
      <c r="F779" s="6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63"/>
      <c r="C780" s="64"/>
      <c r="D780" s="5"/>
      <c r="E780" s="5"/>
      <c r="F780" s="6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63"/>
      <c r="C781" s="64"/>
      <c r="D781" s="5"/>
      <c r="E781" s="5"/>
      <c r="F781" s="6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63"/>
      <c r="C782" s="64"/>
      <c r="D782" s="5"/>
      <c r="E782" s="5"/>
      <c r="F782" s="6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63"/>
      <c r="C783" s="64"/>
      <c r="D783" s="5"/>
      <c r="E783" s="5"/>
      <c r="F783" s="6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63"/>
      <c r="C784" s="64"/>
      <c r="D784" s="5"/>
      <c r="E784" s="5"/>
      <c r="F784" s="6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63"/>
      <c r="C785" s="64"/>
      <c r="D785" s="5"/>
      <c r="E785" s="5"/>
      <c r="F785" s="6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63"/>
      <c r="C786" s="64"/>
      <c r="D786" s="5"/>
      <c r="E786" s="5"/>
      <c r="F786" s="6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63"/>
      <c r="C787" s="64"/>
      <c r="D787" s="5"/>
      <c r="E787" s="5"/>
      <c r="F787" s="6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63"/>
      <c r="C788" s="64"/>
      <c r="D788" s="5"/>
      <c r="E788" s="5"/>
      <c r="F788" s="6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63"/>
      <c r="C789" s="64"/>
      <c r="D789" s="5"/>
      <c r="E789" s="5"/>
      <c r="F789" s="6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63"/>
      <c r="C790" s="64"/>
      <c r="D790" s="5"/>
      <c r="E790" s="5"/>
      <c r="F790" s="6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63"/>
      <c r="C791" s="64"/>
      <c r="D791" s="5"/>
      <c r="E791" s="5"/>
      <c r="F791" s="6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63"/>
      <c r="C792" s="64"/>
      <c r="D792" s="5"/>
      <c r="E792" s="5"/>
      <c r="F792" s="6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63"/>
      <c r="C793" s="64"/>
      <c r="D793" s="5"/>
      <c r="E793" s="5"/>
      <c r="F793" s="6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63"/>
      <c r="C794" s="64"/>
      <c r="D794" s="5"/>
      <c r="E794" s="5"/>
      <c r="F794" s="6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63"/>
      <c r="C795" s="64"/>
      <c r="D795" s="5"/>
      <c r="E795" s="5"/>
      <c r="F795" s="6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63"/>
      <c r="C796" s="64"/>
      <c r="D796" s="5"/>
      <c r="E796" s="5"/>
      <c r="F796" s="6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63"/>
      <c r="C797" s="64"/>
      <c r="D797" s="5"/>
      <c r="E797" s="5"/>
      <c r="F797" s="6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63"/>
      <c r="C798" s="64"/>
      <c r="D798" s="5"/>
      <c r="E798" s="5"/>
      <c r="F798" s="6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63"/>
      <c r="C799" s="64"/>
      <c r="D799" s="5"/>
      <c r="E799" s="5"/>
      <c r="F799" s="6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63"/>
      <c r="C800" s="64"/>
      <c r="D800" s="5"/>
      <c r="E800" s="5"/>
      <c r="F800" s="6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63"/>
      <c r="C801" s="64"/>
      <c r="D801" s="5"/>
      <c r="E801" s="5"/>
      <c r="F801" s="6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63"/>
      <c r="C802" s="64"/>
      <c r="D802" s="5"/>
      <c r="E802" s="5"/>
      <c r="F802" s="6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63"/>
      <c r="C803" s="64"/>
      <c r="D803" s="5"/>
      <c r="E803" s="5"/>
      <c r="F803" s="6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63"/>
      <c r="C804" s="64"/>
      <c r="D804" s="5"/>
      <c r="E804" s="5"/>
      <c r="F804" s="6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63"/>
      <c r="C805" s="64"/>
      <c r="D805" s="5"/>
      <c r="E805" s="5"/>
      <c r="F805" s="6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63"/>
      <c r="C806" s="64"/>
      <c r="D806" s="5"/>
      <c r="E806" s="5"/>
      <c r="F806" s="6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63"/>
      <c r="C807" s="64"/>
      <c r="D807" s="5"/>
      <c r="E807" s="5"/>
      <c r="F807" s="6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63"/>
      <c r="C808" s="64"/>
      <c r="D808" s="5"/>
      <c r="E808" s="5"/>
      <c r="F808" s="6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63"/>
      <c r="C809" s="64"/>
      <c r="D809" s="5"/>
      <c r="E809" s="5"/>
      <c r="F809" s="6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63"/>
      <c r="C810" s="64"/>
      <c r="D810" s="5"/>
      <c r="E810" s="5"/>
      <c r="F810" s="6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63"/>
      <c r="C811" s="64"/>
      <c r="D811" s="5"/>
      <c r="E811" s="5"/>
      <c r="F811" s="6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63"/>
      <c r="C812" s="64"/>
      <c r="D812" s="5"/>
      <c r="E812" s="5"/>
      <c r="F812" s="6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63"/>
      <c r="C813" s="64"/>
      <c r="D813" s="5"/>
      <c r="E813" s="5"/>
      <c r="F813" s="6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63"/>
      <c r="C814" s="64"/>
      <c r="D814" s="5"/>
      <c r="E814" s="5"/>
      <c r="F814" s="6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63"/>
      <c r="C815" s="64"/>
      <c r="D815" s="5"/>
      <c r="E815" s="5"/>
      <c r="F815" s="6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63"/>
      <c r="C816" s="64"/>
      <c r="D816" s="5"/>
      <c r="E816" s="5"/>
      <c r="F816" s="6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63"/>
      <c r="C817" s="64"/>
      <c r="D817" s="5"/>
      <c r="E817" s="5"/>
      <c r="F817" s="6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63"/>
      <c r="C818" s="64"/>
      <c r="D818" s="5"/>
      <c r="E818" s="5"/>
      <c r="F818" s="6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63"/>
      <c r="C819" s="64"/>
      <c r="D819" s="5"/>
      <c r="E819" s="5"/>
      <c r="F819" s="6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63"/>
      <c r="C820" s="64"/>
      <c r="D820" s="5"/>
      <c r="E820" s="5"/>
      <c r="F820" s="6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63"/>
      <c r="C821" s="64"/>
      <c r="D821" s="5"/>
      <c r="E821" s="5"/>
      <c r="F821" s="6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63"/>
      <c r="C822" s="64"/>
      <c r="D822" s="5"/>
      <c r="E822" s="5"/>
      <c r="F822" s="6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63"/>
      <c r="C823" s="64"/>
      <c r="D823" s="5"/>
      <c r="E823" s="5"/>
      <c r="F823" s="6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63"/>
      <c r="C824" s="64"/>
      <c r="D824" s="5"/>
      <c r="E824" s="5"/>
      <c r="F824" s="6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63"/>
      <c r="C825" s="64"/>
      <c r="D825" s="5"/>
      <c r="E825" s="5"/>
      <c r="F825" s="6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63"/>
      <c r="C826" s="64"/>
      <c r="D826" s="5"/>
      <c r="E826" s="5"/>
      <c r="F826" s="6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63"/>
      <c r="C827" s="64"/>
      <c r="D827" s="5"/>
      <c r="E827" s="5"/>
      <c r="F827" s="6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63"/>
      <c r="C828" s="64"/>
      <c r="D828" s="5"/>
      <c r="E828" s="5"/>
      <c r="F828" s="6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63"/>
      <c r="C829" s="64"/>
      <c r="D829" s="5"/>
      <c r="E829" s="5"/>
      <c r="F829" s="6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63"/>
      <c r="C830" s="64"/>
      <c r="D830" s="5"/>
      <c r="E830" s="5"/>
      <c r="F830" s="6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63"/>
      <c r="C831" s="64"/>
      <c r="D831" s="5"/>
      <c r="E831" s="5"/>
      <c r="F831" s="6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63"/>
      <c r="C832" s="64"/>
      <c r="D832" s="5"/>
      <c r="E832" s="5"/>
      <c r="F832" s="6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63"/>
      <c r="C833" s="64"/>
      <c r="D833" s="5"/>
      <c r="E833" s="5"/>
      <c r="F833" s="6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63"/>
      <c r="C834" s="64"/>
      <c r="D834" s="5"/>
      <c r="E834" s="5"/>
      <c r="F834" s="6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63"/>
      <c r="C835" s="64"/>
      <c r="D835" s="5"/>
      <c r="E835" s="5"/>
      <c r="F835" s="6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63"/>
      <c r="C836" s="64"/>
      <c r="D836" s="5"/>
      <c r="E836" s="5"/>
      <c r="F836" s="6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63"/>
      <c r="C837" s="64"/>
      <c r="D837" s="5"/>
      <c r="E837" s="5"/>
      <c r="F837" s="6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63"/>
      <c r="C838" s="64"/>
      <c r="D838" s="5"/>
      <c r="E838" s="5"/>
      <c r="F838" s="6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63"/>
      <c r="C839" s="64"/>
      <c r="D839" s="5"/>
      <c r="E839" s="5"/>
      <c r="F839" s="6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63"/>
      <c r="C840" s="64"/>
      <c r="D840" s="5"/>
      <c r="E840" s="5"/>
      <c r="F840" s="6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63"/>
      <c r="C841" s="64"/>
      <c r="D841" s="5"/>
      <c r="E841" s="5"/>
      <c r="F841" s="6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63"/>
      <c r="C842" s="64"/>
      <c r="D842" s="5"/>
      <c r="E842" s="5"/>
      <c r="F842" s="6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63"/>
      <c r="C843" s="64"/>
      <c r="D843" s="5"/>
      <c r="E843" s="5"/>
      <c r="F843" s="6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63"/>
      <c r="C844" s="64"/>
      <c r="D844" s="5"/>
      <c r="E844" s="5"/>
      <c r="F844" s="6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63"/>
      <c r="C845" s="64"/>
      <c r="D845" s="5"/>
      <c r="E845" s="5"/>
      <c r="F845" s="6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63"/>
      <c r="C846" s="64"/>
      <c r="D846" s="5"/>
      <c r="E846" s="5"/>
      <c r="F846" s="6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63"/>
      <c r="C847" s="64"/>
      <c r="D847" s="5"/>
      <c r="E847" s="5"/>
      <c r="F847" s="6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63"/>
      <c r="C848" s="64"/>
      <c r="D848" s="5"/>
      <c r="E848" s="5"/>
      <c r="F848" s="6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63"/>
      <c r="C849" s="64"/>
      <c r="D849" s="5"/>
      <c r="E849" s="5"/>
      <c r="F849" s="6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63"/>
      <c r="C850" s="64"/>
      <c r="D850" s="5"/>
      <c r="E850" s="5"/>
      <c r="F850" s="6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63"/>
      <c r="C851" s="64"/>
      <c r="D851" s="5"/>
      <c r="E851" s="5"/>
      <c r="F851" s="6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63"/>
      <c r="C852" s="64"/>
      <c r="D852" s="5"/>
      <c r="E852" s="5"/>
      <c r="F852" s="6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63"/>
      <c r="C853" s="64"/>
      <c r="D853" s="5"/>
      <c r="E853" s="5"/>
      <c r="F853" s="6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63"/>
      <c r="C854" s="64"/>
      <c r="D854" s="5"/>
      <c r="E854" s="5"/>
      <c r="F854" s="6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63"/>
      <c r="C855" s="64"/>
      <c r="D855" s="5"/>
      <c r="E855" s="5"/>
      <c r="F855" s="6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63"/>
      <c r="C856" s="64"/>
      <c r="D856" s="5"/>
      <c r="E856" s="5"/>
      <c r="F856" s="6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63"/>
      <c r="C857" s="64"/>
      <c r="D857" s="5"/>
      <c r="E857" s="5"/>
      <c r="F857" s="6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63"/>
      <c r="C858" s="64"/>
      <c r="D858" s="5"/>
      <c r="E858" s="5"/>
      <c r="F858" s="6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63"/>
      <c r="C859" s="64"/>
      <c r="D859" s="5"/>
      <c r="E859" s="5"/>
      <c r="F859" s="6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63"/>
      <c r="C860" s="64"/>
      <c r="D860" s="5"/>
      <c r="E860" s="5"/>
      <c r="F860" s="6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63"/>
      <c r="C861" s="64"/>
      <c r="D861" s="5"/>
      <c r="E861" s="5"/>
      <c r="F861" s="6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63"/>
      <c r="C862" s="64"/>
      <c r="D862" s="5"/>
      <c r="E862" s="5"/>
      <c r="F862" s="6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63"/>
      <c r="C863" s="64"/>
      <c r="D863" s="5"/>
      <c r="E863" s="5"/>
      <c r="F863" s="6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63"/>
      <c r="C864" s="64"/>
      <c r="D864" s="5"/>
      <c r="E864" s="5"/>
      <c r="F864" s="6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63"/>
      <c r="C865" s="64"/>
      <c r="D865" s="5"/>
      <c r="E865" s="5"/>
      <c r="F865" s="6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63"/>
      <c r="C866" s="64"/>
      <c r="D866" s="5"/>
      <c r="E866" s="5"/>
      <c r="F866" s="6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63"/>
      <c r="C867" s="64"/>
      <c r="D867" s="5"/>
      <c r="E867" s="5"/>
      <c r="F867" s="6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63"/>
      <c r="C868" s="64"/>
      <c r="D868" s="5"/>
      <c r="E868" s="5"/>
      <c r="F868" s="6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63"/>
      <c r="C869" s="64"/>
      <c r="D869" s="5"/>
      <c r="E869" s="5"/>
      <c r="F869" s="6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63"/>
      <c r="C870" s="64"/>
      <c r="D870" s="5"/>
      <c r="E870" s="5"/>
      <c r="F870" s="6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63"/>
      <c r="C871" s="64"/>
      <c r="D871" s="5"/>
      <c r="E871" s="5"/>
      <c r="F871" s="6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63"/>
      <c r="C872" s="64"/>
      <c r="D872" s="5"/>
      <c r="E872" s="5"/>
      <c r="F872" s="6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63"/>
      <c r="C873" s="64"/>
      <c r="D873" s="5"/>
      <c r="E873" s="5"/>
      <c r="F873" s="6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63"/>
      <c r="C874" s="64"/>
      <c r="D874" s="5"/>
      <c r="E874" s="5"/>
      <c r="F874" s="6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63"/>
      <c r="C875" s="64"/>
      <c r="D875" s="5"/>
      <c r="E875" s="5"/>
      <c r="F875" s="6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63"/>
      <c r="C876" s="64"/>
      <c r="D876" s="5"/>
      <c r="E876" s="5"/>
      <c r="F876" s="6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63"/>
      <c r="C877" s="64"/>
      <c r="D877" s="5"/>
      <c r="E877" s="5"/>
      <c r="F877" s="6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63"/>
      <c r="C878" s="64"/>
      <c r="D878" s="5"/>
      <c r="E878" s="5"/>
      <c r="F878" s="6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63"/>
      <c r="C879" s="64"/>
      <c r="D879" s="5"/>
      <c r="E879" s="5"/>
      <c r="F879" s="6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63"/>
      <c r="C880" s="64"/>
      <c r="D880" s="5"/>
      <c r="E880" s="5"/>
      <c r="F880" s="6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63"/>
      <c r="C881" s="64"/>
      <c r="D881" s="5"/>
      <c r="E881" s="5"/>
      <c r="F881" s="6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63"/>
      <c r="C882" s="64"/>
      <c r="D882" s="5"/>
      <c r="E882" s="5"/>
      <c r="F882" s="6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63"/>
      <c r="C883" s="64"/>
      <c r="D883" s="5"/>
      <c r="E883" s="5"/>
      <c r="F883" s="6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63"/>
      <c r="C884" s="64"/>
      <c r="D884" s="5"/>
      <c r="E884" s="5"/>
      <c r="F884" s="6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63"/>
      <c r="C885" s="64"/>
      <c r="D885" s="5"/>
      <c r="E885" s="5"/>
      <c r="F885" s="6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63"/>
      <c r="C886" s="64"/>
      <c r="D886" s="5"/>
      <c r="E886" s="5"/>
      <c r="F886" s="6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63"/>
      <c r="C887" s="64"/>
      <c r="D887" s="5"/>
      <c r="E887" s="5"/>
      <c r="F887" s="6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63"/>
      <c r="C888" s="64"/>
      <c r="D888" s="5"/>
      <c r="E888" s="5"/>
      <c r="F888" s="6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63"/>
      <c r="C889" s="64"/>
      <c r="D889" s="5"/>
      <c r="E889" s="5"/>
      <c r="F889" s="6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63"/>
      <c r="C890" s="64"/>
      <c r="D890" s="5"/>
      <c r="E890" s="5"/>
      <c r="F890" s="6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63"/>
      <c r="C891" s="64"/>
      <c r="D891" s="5"/>
      <c r="E891" s="5"/>
      <c r="F891" s="6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63"/>
      <c r="C892" s="64"/>
      <c r="D892" s="5"/>
      <c r="E892" s="5"/>
      <c r="F892" s="6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63"/>
      <c r="C893" s="64"/>
      <c r="D893" s="5"/>
      <c r="E893" s="5"/>
      <c r="F893" s="6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63"/>
      <c r="C894" s="64"/>
      <c r="D894" s="5"/>
      <c r="E894" s="5"/>
      <c r="F894" s="6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63"/>
      <c r="C895" s="64"/>
      <c r="D895" s="5"/>
      <c r="E895" s="5"/>
      <c r="F895" s="6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63"/>
      <c r="C896" s="64"/>
      <c r="D896" s="5"/>
      <c r="E896" s="5"/>
      <c r="F896" s="6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63"/>
      <c r="C897" s="64"/>
      <c r="D897" s="5"/>
      <c r="E897" s="5"/>
      <c r="F897" s="6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63"/>
      <c r="C898" s="64"/>
      <c r="D898" s="5"/>
      <c r="E898" s="5"/>
      <c r="F898" s="6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63"/>
      <c r="C899" s="64"/>
      <c r="D899" s="5"/>
      <c r="E899" s="5"/>
      <c r="F899" s="6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63"/>
      <c r="C900" s="64"/>
      <c r="D900" s="5"/>
      <c r="E900" s="5"/>
      <c r="F900" s="6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63"/>
      <c r="C901" s="64"/>
      <c r="D901" s="5"/>
      <c r="E901" s="5"/>
      <c r="F901" s="6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63"/>
      <c r="C902" s="64"/>
      <c r="D902" s="5"/>
      <c r="E902" s="5"/>
      <c r="F902" s="6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63"/>
      <c r="C903" s="64"/>
      <c r="D903" s="5"/>
      <c r="E903" s="5"/>
      <c r="F903" s="6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63"/>
      <c r="C904" s="64"/>
      <c r="D904" s="5"/>
      <c r="E904" s="5"/>
      <c r="F904" s="6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63"/>
      <c r="C905" s="64"/>
      <c r="D905" s="5"/>
      <c r="E905" s="5"/>
      <c r="F905" s="6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63"/>
      <c r="C906" s="64"/>
      <c r="D906" s="5"/>
      <c r="E906" s="5"/>
      <c r="F906" s="6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63"/>
      <c r="C907" s="64"/>
      <c r="D907" s="5"/>
      <c r="E907" s="5"/>
      <c r="F907" s="6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63"/>
      <c r="C908" s="64"/>
      <c r="D908" s="5"/>
      <c r="E908" s="5"/>
      <c r="F908" s="6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63"/>
      <c r="C909" s="64"/>
      <c r="D909" s="5"/>
      <c r="E909" s="5"/>
      <c r="F909" s="6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63"/>
      <c r="C910" s="64"/>
      <c r="D910" s="5"/>
      <c r="E910" s="5"/>
      <c r="F910" s="6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63"/>
      <c r="C911" s="64"/>
      <c r="D911" s="5"/>
      <c r="E911" s="5"/>
      <c r="F911" s="6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63"/>
      <c r="C912" s="64"/>
      <c r="D912" s="5"/>
      <c r="E912" s="5"/>
      <c r="F912" s="6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63"/>
      <c r="C913" s="64"/>
      <c r="D913" s="5"/>
      <c r="E913" s="5"/>
      <c r="F913" s="6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63"/>
      <c r="C914" s="64"/>
      <c r="D914" s="5"/>
      <c r="E914" s="5"/>
      <c r="F914" s="6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63"/>
      <c r="C915" s="64"/>
      <c r="D915" s="5"/>
      <c r="E915" s="5"/>
      <c r="F915" s="6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63"/>
      <c r="C916" s="64"/>
      <c r="D916" s="5"/>
      <c r="E916" s="5"/>
      <c r="F916" s="6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63"/>
      <c r="C917" s="64"/>
      <c r="D917" s="5"/>
      <c r="E917" s="5"/>
      <c r="F917" s="6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63"/>
      <c r="C918" s="64"/>
      <c r="D918" s="5"/>
      <c r="E918" s="5"/>
      <c r="F918" s="6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63"/>
      <c r="C919" s="64"/>
      <c r="D919" s="5"/>
      <c r="E919" s="5"/>
      <c r="F919" s="6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63"/>
      <c r="C920" s="64"/>
      <c r="D920" s="5"/>
      <c r="E920" s="5"/>
      <c r="F920" s="6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63"/>
      <c r="C921" s="64"/>
      <c r="D921" s="5"/>
      <c r="E921" s="5"/>
      <c r="F921" s="6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63"/>
      <c r="C922" s="64"/>
      <c r="D922" s="5"/>
      <c r="E922" s="5"/>
      <c r="F922" s="6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63"/>
      <c r="C923" s="64"/>
      <c r="D923" s="5"/>
      <c r="E923" s="5"/>
      <c r="F923" s="6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63"/>
      <c r="C924" s="64"/>
      <c r="D924" s="5"/>
      <c r="E924" s="5"/>
      <c r="F924" s="6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63"/>
      <c r="C925" s="64"/>
      <c r="D925" s="5"/>
      <c r="E925" s="5"/>
      <c r="F925" s="6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63"/>
      <c r="C926" s="64"/>
      <c r="D926" s="5"/>
      <c r="E926" s="5"/>
      <c r="F926" s="6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63"/>
      <c r="C927" s="64"/>
      <c r="D927" s="5"/>
      <c r="E927" s="5"/>
      <c r="F927" s="6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63"/>
      <c r="C928" s="64"/>
      <c r="D928" s="5"/>
      <c r="E928" s="5"/>
      <c r="F928" s="6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63"/>
      <c r="C929" s="64"/>
      <c r="D929" s="5"/>
      <c r="E929" s="5"/>
      <c r="F929" s="6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63"/>
      <c r="C930" s="64"/>
      <c r="D930" s="5"/>
      <c r="E930" s="5"/>
      <c r="F930" s="6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63"/>
      <c r="C931" s="64"/>
      <c r="D931" s="5"/>
      <c r="E931" s="5"/>
      <c r="F931" s="6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63"/>
      <c r="C932" s="64"/>
      <c r="D932" s="5"/>
      <c r="E932" s="5"/>
      <c r="F932" s="6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63"/>
      <c r="C933" s="64"/>
      <c r="D933" s="5"/>
      <c r="E933" s="5"/>
      <c r="F933" s="6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63"/>
      <c r="C934" s="64"/>
      <c r="D934" s="5"/>
      <c r="E934" s="5"/>
      <c r="F934" s="6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63"/>
      <c r="C935" s="64"/>
      <c r="D935" s="5"/>
      <c r="E935" s="5"/>
      <c r="F935" s="6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63"/>
      <c r="C936" s="64"/>
      <c r="D936" s="5"/>
      <c r="E936" s="5"/>
      <c r="F936" s="6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63"/>
      <c r="C937" s="64"/>
      <c r="D937" s="5"/>
      <c r="E937" s="5"/>
      <c r="F937" s="6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63"/>
      <c r="C938" s="64"/>
      <c r="D938" s="5"/>
      <c r="E938" s="5"/>
      <c r="F938" s="6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63"/>
      <c r="C939" s="64"/>
      <c r="D939" s="5"/>
      <c r="E939" s="5"/>
      <c r="F939" s="6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63"/>
      <c r="C940" s="64"/>
      <c r="D940" s="5"/>
      <c r="E940" s="5"/>
      <c r="F940" s="6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63"/>
      <c r="C941" s="64"/>
      <c r="D941" s="5"/>
      <c r="E941" s="5"/>
      <c r="F941" s="6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63"/>
      <c r="C942" s="64"/>
      <c r="D942" s="5"/>
      <c r="E942" s="5"/>
      <c r="F942" s="6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63"/>
      <c r="C943" s="64"/>
      <c r="D943" s="5"/>
      <c r="E943" s="5"/>
      <c r="F943" s="6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63"/>
      <c r="C944" s="64"/>
      <c r="D944" s="5"/>
      <c r="E944" s="5"/>
      <c r="F944" s="6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63"/>
      <c r="C945" s="64"/>
      <c r="D945" s="5"/>
      <c r="E945" s="5"/>
      <c r="F945" s="6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63"/>
      <c r="C946" s="64"/>
      <c r="D946" s="5"/>
      <c r="E946" s="5"/>
      <c r="F946" s="6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63"/>
      <c r="C947" s="64"/>
      <c r="D947" s="5"/>
      <c r="E947" s="5"/>
      <c r="F947" s="6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63"/>
      <c r="C948" s="64"/>
      <c r="D948" s="5"/>
      <c r="E948" s="5"/>
      <c r="F948" s="6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63"/>
      <c r="C949" s="64"/>
      <c r="D949" s="5"/>
      <c r="E949" s="5"/>
      <c r="F949" s="6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63"/>
      <c r="C950" s="64"/>
      <c r="D950" s="5"/>
      <c r="E950" s="5"/>
      <c r="F950" s="6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63"/>
      <c r="C951" s="64"/>
      <c r="D951" s="5"/>
      <c r="E951" s="5"/>
      <c r="F951" s="6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63"/>
      <c r="C952" s="64"/>
      <c r="D952" s="5"/>
      <c r="E952" s="5"/>
      <c r="F952" s="6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63"/>
      <c r="C953" s="64"/>
      <c r="D953" s="5"/>
      <c r="E953" s="5"/>
      <c r="F953" s="6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63"/>
      <c r="C954" s="64"/>
      <c r="D954" s="5"/>
      <c r="E954" s="5"/>
      <c r="F954" s="6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63"/>
      <c r="C955" s="64"/>
      <c r="D955" s="5"/>
      <c r="E955" s="5"/>
      <c r="F955" s="6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63"/>
      <c r="C956" s="64"/>
      <c r="D956" s="5"/>
      <c r="E956" s="5"/>
      <c r="F956" s="6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63"/>
      <c r="C957" s="64"/>
      <c r="D957" s="5"/>
      <c r="E957" s="5"/>
      <c r="F957" s="6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63"/>
      <c r="C958" s="64"/>
      <c r="D958" s="5"/>
      <c r="E958" s="5"/>
      <c r="F958" s="6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63"/>
      <c r="C959" s="64"/>
      <c r="D959" s="5"/>
      <c r="E959" s="5"/>
      <c r="F959" s="6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63"/>
      <c r="C960" s="64"/>
      <c r="D960" s="5"/>
      <c r="E960" s="5"/>
      <c r="F960" s="6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63"/>
      <c r="C961" s="64"/>
      <c r="D961" s="5"/>
      <c r="E961" s="5"/>
      <c r="F961" s="6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63"/>
      <c r="C962" s="64"/>
      <c r="D962" s="5"/>
      <c r="E962" s="5"/>
      <c r="F962" s="6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63"/>
      <c r="C963" s="64"/>
      <c r="D963" s="5"/>
      <c r="E963" s="5"/>
      <c r="F963" s="6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63"/>
      <c r="C964" s="64"/>
      <c r="D964" s="5"/>
      <c r="E964" s="5"/>
      <c r="F964" s="6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63"/>
      <c r="C965" s="64"/>
      <c r="D965" s="5"/>
      <c r="E965" s="5"/>
      <c r="F965" s="6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63"/>
      <c r="C966" s="64"/>
      <c r="D966" s="5"/>
      <c r="E966" s="5"/>
      <c r="F966" s="6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63"/>
      <c r="C967" s="64"/>
      <c r="D967" s="5"/>
      <c r="E967" s="5"/>
      <c r="F967" s="6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63"/>
      <c r="C968" s="64"/>
      <c r="D968" s="5"/>
      <c r="E968" s="5"/>
      <c r="F968" s="6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63"/>
      <c r="C969" s="64"/>
      <c r="D969" s="5"/>
      <c r="E969" s="5"/>
      <c r="F969" s="6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63"/>
      <c r="C970" s="64"/>
      <c r="D970" s="5"/>
      <c r="E970" s="5"/>
      <c r="F970" s="6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63"/>
      <c r="C971" s="64"/>
      <c r="D971" s="5"/>
      <c r="E971" s="5"/>
      <c r="F971" s="6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63"/>
      <c r="C972" s="64"/>
      <c r="D972" s="5"/>
      <c r="E972" s="5"/>
      <c r="F972" s="6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63"/>
      <c r="C973" s="64"/>
      <c r="D973" s="5"/>
      <c r="E973" s="5"/>
      <c r="F973" s="6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63"/>
      <c r="C974" s="64"/>
      <c r="D974" s="5"/>
      <c r="E974" s="5"/>
      <c r="F974" s="6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63"/>
      <c r="C975" s="64"/>
      <c r="D975" s="5"/>
      <c r="E975" s="5"/>
      <c r="F975" s="6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63"/>
      <c r="C976" s="64"/>
      <c r="D976" s="5"/>
      <c r="E976" s="5"/>
      <c r="F976" s="6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63"/>
      <c r="C977" s="64"/>
      <c r="D977" s="5"/>
      <c r="E977" s="5"/>
      <c r="F977" s="6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63"/>
      <c r="C978" s="64"/>
      <c r="D978" s="5"/>
      <c r="E978" s="5"/>
      <c r="F978" s="6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63"/>
      <c r="C979" s="64"/>
      <c r="D979" s="5"/>
      <c r="E979" s="5"/>
      <c r="F979" s="6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63"/>
      <c r="C980" s="64"/>
      <c r="D980" s="5"/>
      <c r="E980" s="5"/>
      <c r="F980" s="6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63"/>
      <c r="C981" s="64"/>
      <c r="D981" s="5"/>
      <c r="E981" s="5"/>
      <c r="F981" s="6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63"/>
      <c r="C982" s="64"/>
      <c r="D982" s="5"/>
      <c r="E982" s="5"/>
      <c r="F982" s="6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63"/>
      <c r="C983" s="64"/>
      <c r="D983" s="5"/>
      <c r="E983" s="5"/>
      <c r="F983" s="6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63"/>
      <c r="C984" s="64"/>
      <c r="D984" s="5"/>
      <c r="E984" s="5"/>
      <c r="F984" s="6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63"/>
      <c r="C985" s="64"/>
      <c r="D985" s="5"/>
      <c r="E985" s="5"/>
      <c r="F985" s="6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63"/>
      <c r="C986" s="64"/>
      <c r="D986" s="5"/>
      <c r="E986" s="5"/>
      <c r="F986" s="6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63"/>
      <c r="C987" s="64"/>
      <c r="D987" s="5"/>
      <c r="E987" s="5"/>
      <c r="F987" s="6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63"/>
      <c r="C988" s="64"/>
      <c r="D988" s="5"/>
      <c r="E988" s="5"/>
      <c r="F988" s="6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63"/>
      <c r="C989" s="64"/>
      <c r="D989" s="5"/>
      <c r="E989" s="5"/>
      <c r="F989" s="6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63"/>
      <c r="C990" s="64"/>
      <c r="D990" s="5"/>
      <c r="E990" s="5"/>
      <c r="F990" s="6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63"/>
      <c r="C991" s="64"/>
      <c r="D991" s="5"/>
      <c r="E991" s="5"/>
      <c r="F991" s="6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63"/>
      <c r="C992" s="64"/>
      <c r="D992" s="5"/>
      <c r="E992" s="5"/>
      <c r="F992" s="6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63"/>
      <c r="C993" s="64"/>
      <c r="D993" s="5"/>
      <c r="E993" s="5"/>
      <c r="F993" s="6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63"/>
      <c r="C994" s="64"/>
      <c r="D994" s="5"/>
      <c r="E994" s="5"/>
      <c r="F994" s="6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63"/>
      <c r="C995" s="64"/>
      <c r="D995" s="5"/>
      <c r="E995" s="5"/>
      <c r="F995" s="6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63"/>
      <c r="C996" s="64"/>
      <c r="D996" s="5"/>
      <c r="E996" s="5"/>
      <c r="F996" s="6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63"/>
      <c r="C997" s="64"/>
      <c r="D997" s="5"/>
      <c r="E997" s="5"/>
      <c r="F997" s="6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63"/>
      <c r="C998" s="64"/>
      <c r="D998" s="5"/>
      <c r="E998" s="5"/>
      <c r="F998" s="6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63"/>
      <c r="C999" s="64"/>
      <c r="D999" s="5"/>
      <c r="E999" s="5"/>
      <c r="F999" s="6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63"/>
      <c r="C1000" s="64"/>
      <c r="D1000" s="5"/>
      <c r="E1000" s="5"/>
      <c r="F1000" s="6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63"/>
      <c r="C1001" s="64"/>
      <c r="D1001" s="5"/>
      <c r="E1001" s="5"/>
      <c r="F1001" s="6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5"/>
      <c r="B1002" s="63"/>
      <c r="C1002" s="64"/>
      <c r="D1002" s="5"/>
      <c r="E1002" s="5"/>
      <c r="F1002" s="64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5"/>
      <c r="B1003" s="63"/>
      <c r="C1003" s="64"/>
      <c r="D1003" s="5"/>
      <c r="E1003" s="5"/>
      <c r="F1003" s="64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5"/>
      <c r="B1004" s="63"/>
      <c r="C1004" s="64"/>
      <c r="D1004" s="5"/>
      <c r="E1004" s="5"/>
      <c r="F1004" s="64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5"/>
      <c r="B1005" s="63"/>
      <c r="C1005" s="64"/>
      <c r="D1005" s="5"/>
      <c r="E1005" s="5"/>
      <c r="F1005" s="64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5"/>
      <c r="B1006" s="63"/>
      <c r="C1006" s="64"/>
      <c r="D1006" s="5"/>
      <c r="E1006" s="5"/>
      <c r="F1006" s="64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5"/>
      <c r="B1007" s="63"/>
      <c r="C1007" s="64"/>
      <c r="D1007" s="5"/>
      <c r="E1007" s="5"/>
      <c r="F1007" s="64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5"/>
      <c r="B1008" s="63"/>
      <c r="C1008" s="64"/>
      <c r="D1008" s="5"/>
      <c r="E1008" s="5"/>
      <c r="F1008" s="64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5"/>
      <c r="B1009" s="63"/>
      <c r="C1009" s="64"/>
      <c r="D1009" s="5"/>
      <c r="E1009" s="5"/>
      <c r="F1009" s="64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</sheetData>
  <conditionalFormatting sqref="B1:B1009 D7:D9 D110:D113 C150">
    <cfRule type="expression" dxfId="5" priority="1">
      <formula>(countif($B:$B,$B1) &gt;1)</formula>
    </cfRule>
  </conditionalFormatting>
  <conditionalFormatting sqref="C1:C1009">
    <cfRule type="expression" dxfId="5" priority="2">
      <formula>(countif($C:$C, C1)&gt;1)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75"/>
    <col customWidth="1" min="3" max="3" width="14.0"/>
  </cols>
  <sheetData>
    <row r="1">
      <c r="A1" s="34" t="s">
        <v>38</v>
      </c>
      <c r="B1" s="40"/>
      <c r="C1" s="26"/>
      <c r="D1" s="40"/>
      <c r="E1" s="40"/>
      <c r="F1" s="40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>
      <c r="B4" s="88" t="s">
        <v>1722</v>
      </c>
      <c r="C4" s="33" t="s">
        <v>1723</v>
      </c>
      <c r="D4" s="6" t="s">
        <v>1724</v>
      </c>
      <c r="E4" s="6" t="s">
        <v>1725</v>
      </c>
      <c r="F4" s="30" t="s">
        <v>1726</v>
      </c>
    </row>
    <row r="5">
      <c r="B5" s="88" t="s">
        <v>1727</v>
      </c>
      <c r="C5" s="33" t="s">
        <v>1728</v>
      </c>
      <c r="D5" s="6" t="s">
        <v>1729</v>
      </c>
      <c r="E5" s="6" t="s">
        <v>1730</v>
      </c>
      <c r="F5" s="30" t="s">
        <v>1731</v>
      </c>
    </row>
    <row r="6">
      <c r="B6" s="88" t="s">
        <v>1732</v>
      </c>
      <c r="C6" s="33" t="s">
        <v>1733</v>
      </c>
      <c r="D6" s="6" t="s">
        <v>1734</v>
      </c>
      <c r="E6" s="6" t="s">
        <v>1735</v>
      </c>
      <c r="F6" s="30" t="s">
        <v>1736</v>
      </c>
    </row>
    <row r="7">
      <c r="B7" s="88" t="s">
        <v>1737</v>
      </c>
      <c r="C7" s="33" t="s">
        <v>1738</v>
      </c>
      <c r="D7" s="6" t="s">
        <v>1739</v>
      </c>
      <c r="E7" s="6" t="s">
        <v>1740</v>
      </c>
      <c r="F7" s="30" t="s">
        <v>1741</v>
      </c>
    </row>
    <row r="8">
      <c r="B8" s="88" t="s">
        <v>1742</v>
      </c>
      <c r="C8" s="33" t="s">
        <v>1743</v>
      </c>
      <c r="D8" s="6" t="s">
        <v>1744</v>
      </c>
      <c r="E8" s="6" t="s">
        <v>1745</v>
      </c>
      <c r="F8" s="30" t="s">
        <v>1746</v>
      </c>
    </row>
    <row r="9">
      <c r="B9" s="88" t="s">
        <v>1747</v>
      </c>
      <c r="C9" s="33" t="s">
        <v>1748</v>
      </c>
      <c r="D9" s="6" t="s">
        <v>1749</v>
      </c>
      <c r="E9" s="6" t="s">
        <v>1750</v>
      </c>
      <c r="F9" s="30" t="s">
        <v>1751</v>
      </c>
    </row>
    <row r="10">
      <c r="B10" s="88" t="s">
        <v>1752</v>
      </c>
      <c r="C10" s="33" t="s">
        <v>1753</v>
      </c>
      <c r="D10" s="6" t="s">
        <v>1754</v>
      </c>
      <c r="E10" s="6" t="s">
        <v>1755</v>
      </c>
      <c r="F10" s="30" t="s">
        <v>1756</v>
      </c>
    </row>
    <row r="11">
      <c r="B11" s="88" t="s">
        <v>1757</v>
      </c>
      <c r="C11" s="33" t="s">
        <v>1758</v>
      </c>
      <c r="D11" s="6" t="s">
        <v>1759</v>
      </c>
      <c r="E11" s="6" t="s">
        <v>1760</v>
      </c>
      <c r="F11" s="30" t="s">
        <v>1761</v>
      </c>
    </row>
    <row r="12">
      <c r="B12" s="88" t="s">
        <v>1762</v>
      </c>
      <c r="C12" s="33" t="s">
        <v>1763</v>
      </c>
      <c r="D12" s="6" t="s">
        <v>1764</v>
      </c>
      <c r="E12" s="6" t="s">
        <v>1765</v>
      </c>
      <c r="F12" s="30" t="s">
        <v>1766</v>
      </c>
    </row>
    <row r="13">
      <c r="B13" s="88" t="s">
        <v>1767</v>
      </c>
      <c r="C13" s="33" t="s">
        <v>1768</v>
      </c>
      <c r="D13" s="6" t="s">
        <v>1769</v>
      </c>
      <c r="E13" s="6" t="s">
        <v>1770</v>
      </c>
      <c r="F13" s="30" t="s">
        <v>1771</v>
      </c>
    </row>
    <row r="14">
      <c r="B14" s="88" t="s">
        <v>1772</v>
      </c>
      <c r="C14" s="33" t="s">
        <v>1773</v>
      </c>
      <c r="D14" s="6" t="s">
        <v>1774</v>
      </c>
      <c r="E14" s="6" t="s">
        <v>1775</v>
      </c>
      <c r="F14" s="30" t="s">
        <v>1776</v>
      </c>
    </row>
    <row r="15">
      <c r="B15" s="88" t="s">
        <v>1777</v>
      </c>
      <c r="C15" s="33" t="s">
        <v>1778</v>
      </c>
      <c r="D15" s="6" t="s">
        <v>1779</v>
      </c>
      <c r="E15" s="6" t="s">
        <v>1780</v>
      </c>
      <c r="F15" s="30" t="s">
        <v>1781</v>
      </c>
    </row>
    <row r="16">
      <c r="B16" s="88" t="s">
        <v>1782</v>
      </c>
      <c r="C16" s="33" t="s">
        <v>1783</v>
      </c>
      <c r="D16" s="6" t="s">
        <v>1784</v>
      </c>
      <c r="E16" s="6" t="s">
        <v>1785</v>
      </c>
      <c r="F16" s="30" t="s">
        <v>1782</v>
      </c>
    </row>
    <row r="17">
      <c r="B17" s="88" t="s">
        <v>1786</v>
      </c>
      <c r="C17" s="33" t="s">
        <v>1787</v>
      </c>
      <c r="D17" s="6" t="s">
        <v>1788</v>
      </c>
      <c r="E17" s="6" t="s">
        <v>1789</v>
      </c>
      <c r="F17" s="30" t="s">
        <v>1790</v>
      </c>
    </row>
    <row r="18">
      <c r="B18" s="88" t="s">
        <v>1791</v>
      </c>
      <c r="C18" s="33" t="s">
        <v>1792</v>
      </c>
      <c r="D18" s="6" t="s">
        <v>1793</v>
      </c>
      <c r="E18" s="6" t="s">
        <v>1794</v>
      </c>
      <c r="F18" s="30" t="s">
        <v>1795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38"/>
  </cols>
  <sheetData>
    <row r="1">
      <c r="A1" s="34" t="s">
        <v>1796</v>
      </c>
      <c r="B1" s="40"/>
      <c r="C1" s="26"/>
      <c r="D1" s="40"/>
      <c r="E1" s="40"/>
      <c r="F1" s="40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>
      <c r="A4" s="31" t="s">
        <v>1797</v>
      </c>
      <c r="B4" s="31" t="s">
        <v>1798</v>
      </c>
      <c r="C4" s="31" t="s">
        <v>1799</v>
      </c>
      <c r="D4" s="31" t="s">
        <v>1798</v>
      </c>
      <c r="E4" s="89" t="s">
        <v>1800</v>
      </c>
      <c r="F4" s="33" t="s">
        <v>1798</v>
      </c>
    </row>
    <row r="5">
      <c r="A5" s="31" t="s">
        <v>1801</v>
      </c>
      <c r="B5" s="31" t="s">
        <v>1802</v>
      </c>
      <c r="C5" s="31" t="s">
        <v>1803</v>
      </c>
      <c r="D5" s="31" t="s">
        <v>1804</v>
      </c>
      <c r="E5" s="89" t="s">
        <v>1805</v>
      </c>
      <c r="F5" s="33" t="s">
        <v>1802</v>
      </c>
    </row>
    <row r="6">
      <c r="A6" s="31" t="s">
        <v>1806</v>
      </c>
      <c r="B6" s="31" t="s">
        <v>1807</v>
      </c>
      <c r="C6" s="31" t="s">
        <v>1808</v>
      </c>
      <c r="D6" s="31" t="s">
        <v>1807</v>
      </c>
      <c r="E6" s="89" t="s">
        <v>1809</v>
      </c>
      <c r="F6" s="33" t="s">
        <v>1810</v>
      </c>
    </row>
    <row r="7">
      <c r="A7" s="31" t="s">
        <v>1811</v>
      </c>
      <c r="B7" s="31" t="s">
        <v>1812</v>
      </c>
      <c r="C7" s="31" t="s">
        <v>1813</v>
      </c>
      <c r="D7" s="31" t="s">
        <v>1814</v>
      </c>
      <c r="E7" s="89" t="s">
        <v>1815</v>
      </c>
      <c r="F7" s="33" t="s">
        <v>1816</v>
      </c>
    </row>
    <row r="8">
      <c r="A8" s="31" t="s">
        <v>1817</v>
      </c>
      <c r="B8" s="31" t="s">
        <v>1818</v>
      </c>
      <c r="C8" s="31" t="s">
        <v>1819</v>
      </c>
      <c r="D8" s="31" t="s">
        <v>1820</v>
      </c>
      <c r="E8" s="89" t="s">
        <v>1821</v>
      </c>
      <c r="F8" s="33" t="s">
        <v>1822</v>
      </c>
    </row>
    <row r="9">
      <c r="A9" s="31" t="s">
        <v>1823</v>
      </c>
      <c r="B9" s="31" t="s">
        <v>1824</v>
      </c>
      <c r="C9" s="31" t="s">
        <v>1825</v>
      </c>
      <c r="D9" s="31" t="s">
        <v>1826</v>
      </c>
      <c r="E9" s="89" t="s">
        <v>1827</v>
      </c>
      <c r="F9" s="33" t="s">
        <v>1828</v>
      </c>
    </row>
    <row r="10">
      <c r="B10" s="31" t="s">
        <v>1829</v>
      </c>
      <c r="C10" s="31" t="s">
        <v>1830</v>
      </c>
      <c r="D10" s="31" t="s">
        <v>1831</v>
      </c>
      <c r="E10" s="31" t="s">
        <v>1832</v>
      </c>
      <c r="F10" s="33" t="s">
        <v>1829</v>
      </c>
    </row>
    <row r="11">
      <c r="B11" s="31" t="s">
        <v>1833</v>
      </c>
      <c r="C11" s="31" t="s">
        <v>1834</v>
      </c>
      <c r="D11" s="31" t="s">
        <v>1833</v>
      </c>
      <c r="E11" s="31" t="s">
        <v>1835</v>
      </c>
      <c r="F11" s="33" t="s">
        <v>1833</v>
      </c>
    </row>
    <row r="12">
      <c r="B12" s="31" t="s">
        <v>1836</v>
      </c>
      <c r="C12" s="31" t="s">
        <v>1837</v>
      </c>
      <c r="D12" s="31" t="s">
        <v>1836</v>
      </c>
      <c r="E12" s="31" t="s">
        <v>1838</v>
      </c>
      <c r="F12" s="33" t="s">
        <v>1839</v>
      </c>
    </row>
    <row r="13">
      <c r="B13" s="31" t="s">
        <v>1840</v>
      </c>
      <c r="C13" s="31" t="s">
        <v>1841</v>
      </c>
      <c r="D13" s="31" t="s">
        <v>1842</v>
      </c>
      <c r="E13" s="31" t="s">
        <v>1843</v>
      </c>
      <c r="F13" s="33" t="s">
        <v>1844</v>
      </c>
    </row>
    <row r="14">
      <c r="B14" s="31" t="s">
        <v>1845</v>
      </c>
      <c r="C14" s="31" t="s">
        <v>1846</v>
      </c>
      <c r="D14" s="31" t="s">
        <v>1847</v>
      </c>
      <c r="E14" s="31" t="s">
        <v>1848</v>
      </c>
      <c r="F14" s="33" t="s">
        <v>1849</v>
      </c>
    </row>
    <row r="15">
      <c r="B15" s="31" t="s">
        <v>1850</v>
      </c>
      <c r="C15" s="31" t="s">
        <v>1851</v>
      </c>
      <c r="D15" s="31" t="s">
        <v>1852</v>
      </c>
      <c r="E15" s="31" t="s">
        <v>1853</v>
      </c>
      <c r="F15" s="33" t="s">
        <v>1854</v>
      </c>
    </row>
    <row r="16">
      <c r="B16" s="31" t="s">
        <v>1855</v>
      </c>
      <c r="C16" s="31" t="s">
        <v>1856</v>
      </c>
      <c r="D16" s="31" t="s">
        <v>1855</v>
      </c>
      <c r="E16" s="31" t="s">
        <v>1857</v>
      </c>
      <c r="F16" s="33" t="s">
        <v>1855</v>
      </c>
    </row>
    <row r="17">
      <c r="B17" s="31" t="s">
        <v>1858</v>
      </c>
      <c r="C17" s="31" t="s">
        <v>1859</v>
      </c>
      <c r="D17" s="31" t="s">
        <v>1858</v>
      </c>
      <c r="E17" s="31" t="s">
        <v>1860</v>
      </c>
      <c r="F17" s="33" t="s">
        <v>1861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25"/>
    <col customWidth="1" min="2" max="2" width="14.88"/>
    <col customWidth="1" min="3" max="3" width="14.75"/>
    <col customWidth="1" min="6" max="6" width="16.13"/>
  </cols>
  <sheetData>
    <row r="1">
      <c r="A1" s="1" t="s">
        <v>1862</v>
      </c>
      <c r="B1" s="57"/>
      <c r="C1" s="26"/>
      <c r="D1" s="2"/>
      <c r="E1" s="2"/>
      <c r="F1" s="5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2"/>
      <c r="B2" s="59" t="s">
        <v>101</v>
      </c>
      <c r="C2" s="12" t="s">
        <v>220</v>
      </c>
      <c r="D2" s="12" t="s">
        <v>102</v>
      </c>
      <c r="E2" s="12" t="s">
        <v>53</v>
      </c>
      <c r="F2" s="60" t="s">
        <v>54</v>
      </c>
      <c r="G2" s="12" t="s">
        <v>77</v>
      </c>
      <c r="H2" s="12" t="s">
        <v>78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>
      <c r="A3" s="12" t="s">
        <v>55</v>
      </c>
      <c r="B3" s="61" t="s">
        <v>3</v>
      </c>
      <c r="C3" s="62" t="s">
        <v>4</v>
      </c>
      <c r="D3" s="12" t="s">
        <v>5</v>
      </c>
      <c r="E3" s="12" t="s">
        <v>7</v>
      </c>
      <c r="F3" s="60" t="s">
        <v>18</v>
      </c>
      <c r="G3" s="12" t="s">
        <v>79</v>
      </c>
      <c r="H3" s="12" t="s">
        <v>80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>
      <c r="B4" s="15" t="s">
        <v>1863</v>
      </c>
      <c r="C4" s="31" t="s">
        <v>1864</v>
      </c>
      <c r="D4" s="31" t="s">
        <v>1865</v>
      </c>
      <c r="E4" s="90" t="s">
        <v>1866</v>
      </c>
    </row>
    <row r="5">
      <c r="B5" s="15" t="s">
        <v>1867</v>
      </c>
      <c r="C5" s="31" t="s">
        <v>1868</v>
      </c>
      <c r="D5" s="31" t="s">
        <v>1869</v>
      </c>
      <c r="E5" s="31" t="s">
        <v>1870</v>
      </c>
    </row>
    <row r="6">
      <c r="B6" s="15" t="s">
        <v>1871</v>
      </c>
      <c r="C6" s="31" t="s">
        <v>1872</v>
      </c>
      <c r="D6" s="31" t="s">
        <v>1873</v>
      </c>
      <c r="E6" s="31" t="s">
        <v>1874</v>
      </c>
    </row>
    <row r="7">
      <c r="B7" s="15" t="s">
        <v>1875</v>
      </c>
      <c r="D7" s="31" t="s">
        <v>1876</v>
      </c>
      <c r="E7" s="31" t="s">
        <v>1877</v>
      </c>
    </row>
    <row r="8">
      <c r="B8" s="15" t="s">
        <v>1878</v>
      </c>
      <c r="D8" s="31" t="s">
        <v>1879</v>
      </c>
      <c r="E8" s="31" t="s">
        <v>1880</v>
      </c>
    </row>
    <row r="9">
      <c r="B9" s="15" t="s">
        <v>1881</v>
      </c>
      <c r="C9" s="52" t="s">
        <v>1882</v>
      </c>
      <c r="D9" s="31" t="s">
        <v>1883</v>
      </c>
      <c r="E9" s="90" t="s">
        <v>1884</v>
      </c>
    </row>
    <row r="10">
      <c r="B10" s="15" t="s">
        <v>1885</v>
      </c>
      <c r="D10" s="31" t="s">
        <v>1886</v>
      </c>
      <c r="E10" s="90" t="s">
        <v>1887</v>
      </c>
    </row>
    <row r="11">
      <c r="B11" s="15" t="s">
        <v>1888</v>
      </c>
      <c r="C11" s="52" t="s">
        <v>1889</v>
      </c>
      <c r="D11" s="31" t="s">
        <v>1890</v>
      </c>
      <c r="E11" s="90" t="s">
        <v>1891</v>
      </c>
    </row>
    <row r="12">
      <c r="B12" s="15" t="s">
        <v>1892</v>
      </c>
      <c r="D12" s="31" t="s">
        <v>1893</v>
      </c>
      <c r="E12" s="31" t="s">
        <v>1894</v>
      </c>
    </row>
    <row r="13">
      <c r="B13" s="15" t="s">
        <v>1895</v>
      </c>
      <c r="D13" s="31" t="s">
        <v>1896</v>
      </c>
      <c r="E13" s="90" t="s">
        <v>1897</v>
      </c>
    </row>
    <row r="14">
      <c r="B14" s="15" t="s">
        <v>1898</v>
      </c>
      <c r="D14" s="31" t="s">
        <v>1899</v>
      </c>
      <c r="E14" s="31" t="s">
        <v>1900</v>
      </c>
    </row>
    <row r="15">
      <c r="B15" s="15" t="s">
        <v>1901</v>
      </c>
      <c r="D15" s="31" t="s">
        <v>1902</v>
      </c>
      <c r="E15" s="31" t="s">
        <v>1903</v>
      </c>
    </row>
    <row r="16">
      <c r="B16" s="15" t="s">
        <v>1904</v>
      </c>
      <c r="D16" s="31" t="s">
        <v>1905</v>
      </c>
      <c r="E16" s="90" t="s">
        <v>1906</v>
      </c>
    </row>
    <row r="17">
      <c r="B17" s="15" t="s">
        <v>1907</v>
      </c>
      <c r="D17" s="31" t="s">
        <v>1908</v>
      </c>
      <c r="E17" s="31" t="s">
        <v>1909</v>
      </c>
    </row>
    <row r="18">
      <c r="B18" s="15" t="s">
        <v>1910</v>
      </c>
      <c r="D18" s="31" t="s">
        <v>1911</v>
      </c>
      <c r="E18" s="31" t="s">
        <v>1912</v>
      </c>
    </row>
    <row r="19">
      <c r="B19" s="15" t="s">
        <v>1913</v>
      </c>
      <c r="D19" s="31" t="s">
        <v>1914</v>
      </c>
      <c r="E19" s="90" t="s">
        <v>1915</v>
      </c>
    </row>
    <row r="20">
      <c r="B20" s="15" t="s">
        <v>1916</v>
      </c>
      <c r="D20" s="31" t="s">
        <v>1917</v>
      </c>
      <c r="E20" s="31" t="s">
        <v>1918</v>
      </c>
    </row>
    <row r="21">
      <c r="B21" s="15" t="s">
        <v>1919</v>
      </c>
      <c r="D21" s="31" t="s">
        <v>1920</v>
      </c>
      <c r="E21" s="31" t="s">
        <v>1921</v>
      </c>
    </row>
    <row r="22">
      <c r="B22" s="15" t="s">
        <v>1922</v>
      </c>
      <c r="D22" s="31" t="s">
        <v>1923</v>
      </c>
      <c r="E22" s="31" t="s">
        <v>1924</v>
      </c>
    </row>
    <row r="23">
      <c r="B23" s="15" t="s">
        <v>1925</v>
      </c>
      <c r="D23" s="31" t="s">
        <v>1926</v>
      </c>
      <c r="E23" s="31" t="s">
        <v>1927</v>
      </c>
    </row>
    <row r="24">
      <c r="B24" s="15" t="s">
        <v>1928</v>
      </c>
      <c r="D24" s="31" t="s">
        <v>1929</v>
      </c>
      <c r="E24" s="31" t="s">
        <v>1930</v>
      </c>
    </row>
    <row r="25">
      <c r="B25" s="15" t="s">
        <v>1931</v>
      </c>
      <c r="D25" s="31" t="s">
        <v>1932</v>
      </c>
      <c r="E25" s="31" t="s">
        <v>1933</v>
      </c>
    </row>
    <row r="26">
      <c r="B26" s="15" t="s">
        <v>1934</v>
      </c>
      <c r="D26" s="31" t="s">
        <v>1935</v>
      </c>
      <c r="E26" s="31" t="s">
        <v>1936</v>
      </c>
    </row>
    <row r="27">
      <c r="B27" s="15" t="s">
        <v>1937</v>
      </c>
      <c r="D27" s="31" t="s">
        <v>1938</v>
      </c>
      <c r="E27" s="31" t="s">
        <v>1939</v>
      </c>
    </row>
    <row r="28">
      <c r="B28" s="15" t="s">
        <v>1940</v>
      </c>
      <c r="D28" s="31" t="s">
        <v>1941</v>
      </c>
      <c r="E28" s="31" t="s">
        <v>1942</v>
      </c>
    </row>
    <row r="29">
      <c r="B29" s="15" t="s">
        <v>1943</v>
      </c>
      <c r="C29" s="52" t="s">
        <v>1944</v>
      </c>
      <c r="D29" s="31" t="s">
        <v>1945</v>
      </c>
      <c r="E29" s="31" t="s">
        <v>1946</v>
      </c>
    </row>
    <row r="30">
      <c r="B30" s="15" t="s">
        <v>1947</v>
      </c>
      <c r="C30" s="52" t="s">
        <v>1948</v>
      </c>
      <c r="D30" s="31" t="s">
        <v>1949</v>
      </c>
      <c r="E30" s="31" t="s">
        <v>1950</v>
      </c>
    </row>
    <row r="31">
      <c r="B31" s="15" t="s">
        <v>1951</v>
      </c>
      <c r="D31" s="31" t="s">
        <v>1952</v>
      </c>
      <c r="E31" s="31" t="s">
        <v>1953</v>
      </c>
    </row>
    <row r="32">
      <c r="B32" s="15" t="s">
        <v>1954</v>
      </c>
      <c r="C32" s="31" t="s">
        <v>1955</v>
      </c>
      <c r="D32" s="31" t="s">
        <v>1956</v>
      </c>
      <c r="E32" s="31" t="s">
        <v>1957</v>
      </c>
    </row>
  </sheetData>
  <conditionalFormatting sqref="B1:B3">
    <cfRule type="expression" dxfId="5" priority="1">
      <formula>(countif($B:$B,$B1) &gt;1)</formula>
    </cfRule>
  </conditionalFormatting>
  <conditionalFormatting sqref="C1:C3">
    <cfRule type="expression" dxfId="5" priority="2">
      <formula>(countif($C:$C, C1)&gt;1)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5"/>
    <col customWidth="1" min="3" max="3" width="16.0"/>
    <col customWidth="1" min="4" max="4" width="17.63"/>
  </cols>
  <sheetData>
    <row r="1">
      <c r="A1" s="34" t="s">
        <v>1958</v>
      </c>
      <c r="B1" s="40"/>
      <c r="C1" s="26"/>
      <c r="D1" s="40"/>
      <c r="E1" s="40"/>
      <c r="F1" s="40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>
      <c r="B4" s="31" t="s">
        <v>1959</v>
      </c>
      <c r="C4" s="31" t="s">
        <v>1960</v>
      </c>
      <c r="D4" s="31" t="s">
        <v>1961</v>
      </c>
      <c r="E4" s="31" t="s">
        <v>1962</v>
      </c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5"/>
    <col customWidth="1" min="3" max="3" width="16.38"/>
    <col customWidth="1" min="4" max="4" width="17.63"/>
  </cols>
  <sheetData>
    <row r="1">
      <c r="A1" s="34" t="s">
        <v>1963</v>
      </c>
      <c r="B1" s="40"/>
      <c r="C1" s="26"/>
      <c r="D1" s="40"/>
      <c r="E1" s="40"/>
      <c r="F1" s="40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>
      <c r="A2" s="12"/>
      <c r="B2" s="12" t="s">
        <v>101</v>
      </c>
      <c r="C2" s="12" t="s">
        <v>220</v>
      </c>
      <c r="D2" s="12" t="s">
        <v>102</v>
      </c>
      <c r="E2" s="12" t="s">
        <v>53</v>
      </c>
      <c r="F2" s="12" t="s">
        <v>54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</row>
    <row r="3">
      <c r="A3" s="12" t="s">
        <v>55</v>
      </c>
      <c r="B3" s="11" t="s">
        <v>3</v>
      </c>
      <c r="C3" s="42" t="s">
        <v>4</v>
      </c>
      <c r="D3" s="12" t="s">
        <v>5</v>
      </c>
      <c r="E3" s="12" t="s">
        <v>7</v>
      </c>
      <c r="F3" s="12" t="s">
        <v>18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</row>
    <row r="4">
      <c r="B4" s="31" t="s">
        <v>1964</v>
      </c>
      <c r="C4" s="31" t="s">
        <v>1965</v>
      </c>
      <c r="D4" s="31" t="s">
        <v>1966</v>
      </c>
      <c r="E4" s="31" t="s">
        <v>1967</v>
      </c>
    </row>
  </sheetData>
  <drawing r:id="rId2"/>
  <legacyDrawing r:id="rId3"/>
</worksheet>
</file>